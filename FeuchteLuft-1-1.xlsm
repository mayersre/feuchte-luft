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30" yWindow="120" windowWidth="7230" windowHeight="11535"/>
  </bookViews>
  <sheets>
    <sheet name="(c)" sheetId="11" r:id="rId1"/>
    <sheet name="Funktionen" sheetId="3" r:id="rId2"/>
    <sheet name="Zustand" sheetId="2" r:id="rId3"/>
    <sheet name="Zustandsänderungen" sheetId="15" r:id="rId4"/>
    <sheet name="hx" sheetId="16" r:id="rId5"/>
    <sheet name="pt Diagramm" sheetId="12" r:id="rId6"/>
  </sheets>
  <functionGroups builtInGroupCount="17"/>
  <definedNames>
    <definedName name="enthalpiebereich">#REF!</definedName>
    <definedName name="FL_p_bar">Zustand!$C$10</definedName>
    <definedName name="FL_PartialdruckLuft">Zustand!$C$40</definedName>
    <definedName name="FL_PartialdruckWasser">Zustand!$C$35</definedName>
    <definedName name="FL_phi">Zustand!$C$8</definedName>
    <definedName name="FL_pws_bar">Zustand!$C$14</definedName>
    <definedName name="fl_rho">Zustand!$C$44</definedName>
    <definedName name="FL_t_Celsius">Zustand!$C$6</definedName>
    <definedName name="fl_VStrom_feucht">Zustand!$C$11</definedName>
    <definedName name="FL_Wassergehalt_kgkg">Zustand!$C$19</definedName>
    <definedName name="ha_luftdruck">#REF!</definedName>
    <definedName name="ha_m_isentalpen">#REF!</definedName>
    <definedName name="ha_mh1">#REF!</definedName>
    <definedName name="ha_mh2">#REF!</definedName>
    <definedName name="ha_mx1">#REF!</definedName>
    <definedName name="ha_mx2">#REF!</definedName>
    <definedName name="hmax">#REF!</definedName>
    <definedName name="hmax_rund">#REF!</definedName>
    <definedName name="hmin">#REF!</definedName>
    <definedName name="hmin_rund">#REF!</definedName>
    <definedName name="hx_druck">hx!$A$2</definedName>
    <definedName name="hx_luftdruck">#REF!</definedName>
    <definedName name="hx_m">#REF!</definedName>
    <definedName name="hx_m_isentalpen">#REF!</definedName>
    <definedName name="hx_mh1">#REF!</definedName>
    <definedName name="hx_mh2">#REF!</definedName>
    <definedName name="hx_mx1">#REF!</definedName>
    <definedName name="hx_mx2">#REF!</definedName>
    <definedName name="hx_p">#REF!</definedName>
    <definedName name="Isenthalpen">#REF!</definedName>
    <definedName name="isenthalpenabstand">#REF!</definedName>
    <definedName name="Luftdruck">#REF!</definedName>
    <definedName name="massstab_h">#REF!</definedName>
    <definedName name="massstab_x">#REF!</definedName>
    <definedName name="pix_h">#REF!</definedName>
    <definedName name="pix_x">#REF!</definedName>
    <definedName name="tmax">#REF!</definedName>
    <definedName name="tmin">#REF!</definedName>
    <definedName name="xmax">#REF!</definedName>
    <definedName name="xmin">#REF!</definedName>
    <definedName name="za_luftdruck">Zustandsänderungen!$C$6</definedName>
    <definedName name="za_mstrom">Zustandsänderungen!$U$6</definedName>
    <definedName name="za_mstrom2">Zustandsänderungen!$U$18</definedName>
  </definedNames>
  <calcPr calcId="145621"/>
</workbook>
</file>

<file path=xl/calcChain.xml><?xml version="1.0" encoding="utf-8"?>
<calcChain xmlns="http://schemas.openxmlformats.org/spreadsheetml/2006/main">
  <c r="F6" i="16" l="1"/>
  <c r="F7" i="16"/>
  <c r="F8" i="16"/>
  <c r="F9" i="16"/>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137" i="16"/>
  <c r="F138" i="16"/>
  <c r="F139" i="16"/>
  <c r="F140" i="16"/>
  <c r="F141" i="16"/>
  <c r="F142" i="16"/>
  <c r="F143" i="16"/>
  <c r="F144" i="16"/>
  <c r="F145" i="16"/>
  <c r="F146" i="16"/>
  <c r="F147" i="16"/>
  <c r="F148" i="16"/>
  <c r="F149" i="16"/>
  <c r="F150" i="16"/>
  <c r="F151" i="16"/>
  <c r="F152" i="16"/>
  <c r="F153" i="16"/>
  <c r="F154" i="16"/>
  <c r="F155" i="16"/>
  <c r="F156" i="16"/>
  <c r="F157" i="16"/>
  <c r="F158" i="16"/>
  <c r="F159" i="16"/>
  <c r="F160" i="16"/>
  <c r="F161" i="16"/>
  <c r="F162" i="16"/>
  <c r="F163" i="16"/>
  <c r="F164" i="16"/>
  <c r="F165" i="16"/>
  <c r="F166" i="16"/>
  <c r="F167" i="16"/>
  <c r="F168" i="16"/>
  <c r="F169" i="16"/>
  <c r="F170" i="16"/>
  <c r="F171" i="16"/>
  <c r="F172" i="16"/>
  <c r="F173" i="16"/>
  <c r="F174" i="16"/>
  <c r="F175" i="16"/>
  <c r="F176" i="16"/>
  <c r="F177" i="16"/>
  <c r="F178" i="16"/>
  <c r="F179" i="16"/>
  <c r="F180" i="16"/>
  <c r="F181" i="16"/>
  <c r="F182" i="16"/>
  <c r="F183" i="16"/>
  <c r="F184" i="16"/>
  <c r="F185" i="16"/>
  <c r="F186" i="16"/>
  <c r="F187" i="16"/>
  <c r="F188" i="16"/>
  <c r="F189" i="16"/>
  <c r="F190" i="16"/>
  <c r="F191" i="16"/>
  <c r="F192" i="16"/>
  <c r="F193" i="16"/>
  <c r="F194" i="16"/>
  <c r="F195" i="16"/>
  <c r="F196" i="16"/>
  <c r="F197" i="16"/>
  <c r="F198" i="16"/>
  <c r="F199" i="16"/>
  <c r="F200" i="16"/>
  <c r="F201" i="16"/>
  <c r="F202" i="16"/>
  <c r="F203" i="16"/>
  <c r="F204" i="16"/>
  <c r="F205" i="16"/>
  <c r="F206" i="16"/>
  <c r="F207" i="16"/>
  <c r="F208" i="16"/>
  <c r="F209" i="16"/>
  <c r="F210" i="16"/>
  <c r="F211" i="16"/>
  <c r="F212" i="16"/>
  <c r="F213" i="16"/>
  <c r="F214" i="16"/>
  <c r="F215" i="16"/>
  <c r="F216" i="16"/>
  <c r="F217" i="16"/>
  <c r="F218" i="16"/>
  <c r="F219" i="16"/>
  <c r="F220" i="16"/>
  <c r="F221" i="16"/>
  <c r="F222" i="16"/>
  <c r="F223" i="16"/>
  <c r="F224" i="16"/>
  <c r="F225" i="16"/>
  <c r="F226" i="16"/>
  <c r="F227" i="16"/>
  <c r="F228" i="16"/>
  <c r="F229" i="16"/>
  <c r="F230" i="16"/>
  <c r="F231" i="16"/>
  <c r="F232" i="16"/>
  <c r="F233" i="16"/>
  <c r="F234" i="16"/>
  <c r="F235" i="16"/>
  <c r="F236" i="16"/>
  <c r="F237" i="16"/>
  <c r="F238" i="16"/>
  <c r="F239" i="16"/>
  <c r="F240" i="16"/>
  <c r="F241" i="16"/>
  <c r="F242" i="16"/>
  <c r="F243" i="16"/>
  <c r="F244" i="16"/>
  <c r="F245" i="16"/>
  <c r="F246" i="16"/>
  <c r="F247" i="16"/>
  <c r="F248" i="16"/>
  <c r="F249" i="16"/>
  <c r="F250" i="16"/>
  <c r="F251" i="16"/>
  <c r="F252" i="16"/>
  <c r="F253" i="16"/>
  <c r="F254" i="16"/>
  <c r="F255" i="16"/>
  <c r="F5" i="16"/>
  <c r="M10" i="15"/>
  <c r="M12" i="15"/>
  <c r="M15" i="15"/>
  <c r="M16" i="15"/>
  <c r="M17" i="15"/>
  <c r="M19" i="15"/>
  <c r="M21" i="15"/>
  <c r="M22" i="15"/>
  <c r="M24" i="15"/>
  <c r="M25" i="15"/>
  <c r="M26" i="15"/>
  <c r="M27" i="15"/>
  <c r="M9" i="15"/>
  <c r="K27" i="15"/>
  <c r="J27" i="15"/>
  <c r="K26" i="15"/>
  <c r="J26" i="15"/>
  <c r="K25" i="15"/>
  <c r="J25" i="15"/>
  <c r="K24" i="15"/>
  <c r="J24" i="15"/>
  <c r="K23" i="15"/>
  <c r="J23" i="15"/>
  <c r="K22" i="15"/>
  <c r="J22" i="15"/>
  <c r="K21" i="15"/>
  <c r="J21" i="15"/>
  <c r="K20" i="15"/>
  <c r="J20" i="15"/>
  <c r="K19" i="15"/>
  <c r="J19" i="15"/>
  <c r="K17" i="15"/>
  <c r="J17" i="15"/>
  <c r="K16" i="15"/>
  <c r="J16" i="15"/>
  <c r="K15" i="15"/>
  <c r="J15" i="15"/>
  <c r="K14" i="15"/>
  <c r="J14" i="15"/>
  <c r="K13" i="15"/>
  <c r="J13" i="15"/>
  <c r="K12" i="15"/>
  <c r="J12" i="15"/>
  <c r="K11" i="15"/>
  <c r="J11" i="15"/>
  <c r="K10" i="15"/>
  <c r="J10" i="15"/>
  <c r="K9" i="15"/>
  <c r="J9" i="15"/>
  <c r="E10" i="15"/>
  <c r="F10" i="15"/>
  <c r="E11" i="15"/>
  <c r="F11" i="15"/>
  <c r="E12" i="15"/>
  <c r="F12" i="15"/>
  <c r="E13" i="15"/>
  <c r="F13" i="15"/>
  <c r="E14" i="15"/>
  <c r="F14" i="15"/>
  <c r="E15" i="15"/>
  <c r="F15" i="15"/>
  <c r="E16" i="15"/>
  <c r="F16" i="15"/>
  <c r="E17" i="15"/>
  <c r="F17" i="15"/>
  <c r="E19" i="15"/>
  <c r="F19" i="15"/>
  <c r="E20" i="15"/>
  <c r="F20" i="15"/>
  <c r="E21" i="15"/>
  <c r="F21" i="15"/>
  <c r="E22" i="15"/>
  <c r="F22" i="15"/>
  <c r="E23" i="15"/>
  <c r="F23" i="15"/>
  <c r="E24" i="15"/>
  <c r="F24" i="15"/>
  <c r="E25" i="15"/>
  <c r="F25" i="15"/>
  <c r="E26" i="15"/>
  <c r="F26" i="15"/>
  <c r="E27" i="15"/>
  <c r="F27" i="15"/>
  <c r="F9" i="15"/>
  <c r="E9" i="15"/>
  <c r="G9" i="15" s="1"/>
  <c r="M7" i="15"/>
  <c r="D7" i="15"/>
  <c r="G27" i="15" l="1"/>
  <c r="G26" i="15"/>
  <c r="G25" i="15"/>
  <c r="G24" i="15"/>
  <c r="G23" i="15"/>
  <c r="G22" i="15"/>
  <c r="G21" i="15"/>
  <c r="G20" i="15"/>
  <c r="G19" i="15"/>
  <c r="G17" i="15"/>
  <c r="G16" i="15"/>
  <c r="G15" i="15"/>
  <c r="G14" i="15"/>
  <c r="M14" i="15" s="1"/>
  <c r="G13" i="15"/>
  <c r="G12" i="15"/>
  <c r="G11" i="15"/>
  <c r="G10" i="15"/>
  <c r="L9" i="15"/>
  <c r="L10" i="15"/>
  <c r="L11" i="15"/>
  <c r="L12" i="15"/>
  <c r="L13" i="15"/>
  <c r="L14" i="15"/>
  <c r="L15" i="15"/>
  <c r="L16" i="15"/>
  <c r="L17" i="15"/>
  <c r="L19" i="15"/>
  <c r="L20" i="15"/>
  <c r="L21" i="15"/>
  <c r="L22" i="15"/>
  <c r="L23" i="15"/>
  <c r="N23" i="15" s="1"/>
  <c r="L24" i="15"/>
  <c r="L25" i="15"/>
  <c r="L26" i="15"/>
  <c r="L27" i="15"/>
  <c r="C93" i="2"/>
  <c r="C7" i="2"/>
  <c r="A107" i="3"/>
  <c r="E27" i="3"/>
  <c r="E11" i="2"/>
  <c r="C10" i="2"/>
  <c r="C69" i="2"/>
  <c r="G40" i="16"/>
  <c r="K40" i="16"/>
  <c r="O40" i="16"/>
  <c r="S40" i="16"/>
  <c r="W40" i="16"/>
  <c r="AA40" i="16"/>
  <c r="AE40" i="16"/>
  <c r="J41" i="16"/>
  <c r="N41" i="16"/>
  <c r="R41" i="16"/>
  <c r="V41" i="16"/>
  <c r="Z41" i="16"/>
  <c r="AD41" i="16"/>
  <c r="I42" i="16"/>
  <c r="M42" i="16"/>
  <c r="Q42" i="16"/>
  <c r="U42" i="16"/>
  <c r="Y42" i="16"/>
  <c r="AC42" i="16"/>
  <c r="H43" i="16"/>
  <c r="L43" i="16"/>
  <c r="P43" i="16"/>
  <c r="T43" i="16"/>
  <c r="X43" i="16"/>
  <c r="AB43" i="16"/>
  <c r="G44" i="16"/>
  <c r="K44" i="16"/>
  <c r="O44" i="16"/>
  <c r="S44" i="16"/>
  <c r="W44" i="16"/>
  <c r="AA44" i="16"/>
  <c r="AE44" i="16"/>
  <c r="J45" i="16"/>
  <c r="N45" i="16"/>
  <c r="R45" i="16"/>
  <c r="V45" i="16"/>
  <c r="Z45" i="16"/>
  <c r="AD45" i="16"/>
  <c r="I46" i="16"/>
  <c r="M46" i="16"/>
  <c r="Q46" i="16"/>
  <c r="U46" i="16"/>
  <c r="Y46" i="16"/>
  <c r="AC46" i="16"/>
  <c r="H47" i="16"/>
  <c r="L47" i="16"/>
  <c r="P47" i="16"/>
  <c r="T47" i="16"/>
  <c r="X47" i="16"/>
  <c r="AB47" i="16"/>
  <c r="G48" i="16"/>
  <c r="K48" i="16"/>
  <c r="O48" i="16"/>
  <c r="S48" i="16"/>
  <c r="W48" i="16"/>
  <c r="AA48" i="16"/>
  <c r="AE48" i="16"/>
  <c r="J49" i="16"/>
  <c r="N49" i="16"/>
  <c r="R49" i="16"/>
  <c r="V49" i="16"/>
  <c r="Z49" i="16"/>
  <c r="AD49" i="16"/>
  <c r="I50" i="16"/>
  <c r="J40" i="16"/>
  <c r="N40" i="16"/>
  <c r="R40" i="16"/>
  <c r="V40" i="16"/>
  <c r="Z40" i="16"/>
  <c r="AD40" i="16"/>
  <c r="I41" i="16"/>
  <c r="M41" i="16"/>
  <c r="Q41" i="16"/>
  <c r="U41" i="16"/>
  <c r="Y41" i="16"/>
  <c r="AC41" i="16"/>
  <c r="H42" i="16"/>
  <c r="L42" i="16"/>
  <c r="P42" i="16"/>
  <c r="T42" i="16"/>
  <c r="X42" i="16"/>
  <c r="AB42" i="16"/>
  <c r="G43" i="16"/>
  <c r="K43" i="16"/>
  <c r="O43" i="16"/>
  <c r="S43" i="16"/>
  <c r="W43" i="16"/>
  <c r="AA43" i="16"/>
  <c r="AE43" i="16"/>
  <c r="J44" i="16"/>
  <c r="N44" i="16"/>
  <c r="R44" i="16"/>
  <c r="V44" i="16"/>
  <c r="Z44" i="16"/>
  <c r="AD44" i="16"/>
  <c r="I45" i="16"/>
  <c r="M45" i="16"/>
  <c r="Q45" i="16"/>
  <c r="U45" i="16"/>
  <c r="Y45" i="16"/>
  <c r="AC45" i="16"/>
  <c r="H46" i="16"/>
  <c r="L46" i="16"/>
  <c r="P46" i="16"/>
  <c r="T46" i="16"/>
  <c r="X46" i="16"/>
  <c r="AB46" i="16"/>
  <c r="G47" i="16"/>
  <c r="K47" i="16"/>
  <c r="O47" i="16"/>
  <c r="S47" i="16"/>
  <c r="W47" i="16"/>
  <c r="AA47" i="16"/>
  <c r="AE47" i="16"/>
  <c r="J48" i="16"/>
  <c r="N48" i="16"/>
  <c r="R48" i="16"/>
  <c r="V48" i="16"/>
  <c r="Z48" i="16"/>
  <c r="AD48" i="16"/>
  <c r="I49" i="16"/>
  <c r="M49" i="16"/>
  <c r="Q49" i="16"/>
  <c r="U49" i="16"/>
  <c r="Y49" i="16"/>
  <c r="AC49" i="16"/>
  <c r="H50" i="16"/>
  <c r="I40" i="16"/>
  <c r="M40" i="16"/>
  <c r="Q40" i="16"/>
  <c r="U40" i="16"/>
  <c r="Y40" i="16"/>
  <c r="AC40" i="16"/>
  <c r="H41" i="16"/>
  <c r="L41" i="16"/>
  <c r="P41" i="16"/>
  <c r="T41" i="16"/>
  <c r="X41" i="16"/>
  <c r="AB41" i="16"/>
  <c r="G42" i="16"/>
  <c r="K42" i="16"/>
  <c r="O42" i="16"/>
  <c r="S42" i="16"/>
  <c r="W42" i="16"/>
  <c r="AA42" i="16"/>
  <c r="AE42" i="16"/>
  <c r="J43" i="16"/>
  <c r="N43" i="16"/>
  <c r="R43" i="16"/>
  <c r="V43" i="16"/>
  <c r="Z43" i="16"/>
  <c r="AD43" i="16"/>
  <c r="I44" i="16"/>
  <c r="M44" i="16"/>
  <c r="Q44" i="16"/>
  <c r="U44" i="16"/>
  <c r="Y44" i="16"/>
  <c r="AC44" i="16"/>
  <c r="H45" i="16"/>
  <c r="L45" i="16"/>
  <c r="P45" i="16"/>
  <c r="T45" i="16"/>
  <c r="X45" i="16"/>
  <c r="AB45" i="16"/>
  <c r="G46" i="16"/>
  <c r="K46" i="16"/>
  <c r="O46" i="16"/>
  <c r="S46" i="16"/>
  <c r="W46" i="16"/>
  <c r="AA46" i="16"/>
  <c r="AE46" i="16"/>
  <c r="J47" i="16"/>
  <c r="N47" i="16"/>
  <c r="R47" i="16"/>
  <c r="V47" i="16"/>
  <c r="Z47" i="16"/>
  <c r="AD47" i="16"/>
  <c r="I48" i="16"/>
  <c r="M48" i="16"/>
  <c r="Q48" i="16"/>
  <c r="U48" i="16"/>
  <c r="Y48" i="16"/>
  <c r="AC48" i="16"/>
  <c r="H49" i="16"/>
  <c r="L49" i="16"/>
  <c r="P49" i="16"/>
  <c r="T49" i="16"/>
  <c r="X49" i="16"/>
  <c r="AB49" i="16"/>
  <c r="G50" i="16"/>
  <c r="H40" i="16"/>
  <c r="L40" i="16"/>
  <c r="P40" i="16"/>
  <c r="T40" i="16"/>
  <c r="X40" i="16"/>
  <c r="AB40" i="16"/>
  <c r="G41" i="16"/>
  <c r="K41" i="16"/>
  <c r="O41" i="16"/>
  <c r="S41" i="16"/>
  <c r="W41" i="16"/>
  <c r="AA41" i="16"/>
  <c r="AE41" i="16"/>
  <c r="J42" i="16"/>
  <c r="N42" i="16"/>
  <c r="R42" i="16"/>
  <c r="V42" i="16"/>
  <c r="Z42" i="16"/>
  <c r="AD42" i="16"/>
  <c r="I43" i="16"/>
  <c r="M43" i="16"/>
  <c r="Q43" i="16"/>
  <c r="U43" i="16"/>
  <c r="Y43" i="16"/>
  <c r="AC43" i="16"/>
  <c r="H44" i="16"/>
  <c r="L44" i="16"/>
  <c r="P44" i="16"/>
  <c r="T44" i="16"/>
  <c r="X44" i="16"/>
  <c r="AB44" i="16"/>
  <c r="G45" i="16"/>
  <c r="K45" i="16"/>
  <c r="O45" i="16"/>
  <c r="S45" i="16"/>
  <c r="W45" i="16"/>
  <c r="AA45" i="16"/>
  <c r="AE45" i="16"/>
  <c r="J46" i="16"/>
  <c r="N46" i="16"/>
  <c r="R46" i="16"/>
  <c r="V46" i="16"/>
  <c r="Z46" i="16"/>
  <c r="AD46" i="16"/>
  <c r="I47" i="16"/>
  <c r="M47" i="16"/>
  <c r="Q47" i="16"/>
  <c r="U47" i="16"/>
  <c r="Y47" i="16"/>
  <c r="AC47" i="16"/>
  <c r="H48" i="16"/>
  <c r="L48" i="16"/>
  <c r="P48" i="16"/>
  <c r="T48" i="16"/>
  <c r="X48" i="16"/>
  <c r="AB48" i="16"/>
  <c r="G49" i="16"/>
  <c r="K49" i="16"/>
  <c r="O49" i="16"/>
  <c r="S49" i="16"/>
  <c r="W49" i="16"/>
  <c r="AA49" i="16"/>
  <c r="AE49" i="16"/>
  <c r="J50" i="16"/>
  <c r="M50" i="16"/>
  <c r="Q50" i="16"/>
  <c r="U50" i="16"/>
  <c r="Y50" i="16"/>
  <c r="AC50" i="16"/>
  <c r="H51" i="16"/>
  <c r="L51" i="16"/>
  <c r="P51" i="16"/>
  <c r="T51" i="16"/>
  <c r="X51" i="16"/>
  <c r="AB51" i="16"/>
  <c r="G52" i="16"/>
  <c r="K52" i="16"/>
  <c r="O52" i="16"/>
  <c r="S52" i="16"/>
  <c r="W52" i="16"/>
  <c r="AA52" i="16"/>
  <c r="AE52" i="16"/>
  <c r="J53" i="16"/>
  <c r="N53" i="16"/>
  <c r="R53" i="16"/>
  <c r="V53" i="16"/>
  <c r="Z53" i="16"/>
  <c r="AD53" i="16"/>
  <c r="I54" i="16"/>
  <c r="M54" i="16"/>
  <c r="Q54" i="16"/>
  <c r="U54" i="16"/>
  <c r="Y54" i="16"/>
  <c r="AC54" i="16"/>
  <c r="H55" i="16"/>
  <c r="L55" i="16"/>
  <c r="P55" i="16"/>
  <c r="T55" i="16"/>
  <c r="X55" i="16"/>
  <c r="AB55" i="16"/>
  <c r="G56" i="16"/>
  <c r="K56" i="16"/>
  <c r="O56" i="16"/>
  <c r="S56" i="16"/>
  <c r="W56" i="16"/>
  <c r="AA56" i="16"/>
  <c r="AE56" i="16"/>
  <c r="J57" i="16"/>
  <c r="N57" i="16"/>
  <c r="R57" i="16"/>
  <c r="V57" i="16"/>
  <c r="Z57" i="16"/>
  <c r="AD57" i="16"/>
  <c r="I58" i="16"/>
  <c r="M58" i="16"/>
  <c r="Q58" i="16"/>
  <c r="U58" i="16"/>
  <c r="Y58" i="16"/>
  <c r="AC58" i="16"/>
  <c r="H59" i="16"/>
  <c r="L59" i="16"/>
  <c r="P59" i="16"/>
  <c r="T59" i="16"/>
  <c r="X59" i="16"/>
  <c r="AB59" i="16"/>
  <c r="G60" i="16"/>
  <c r="K60" i="16"/>
  <c r="O60" i="16"/>
  <c r="S60" i="16"/>
  <c r="W60" i="16"/>
  <c r="AA60" i="16"/>
  <c r="AE60" i="16"/>
  <c r="J61" i="16"/>
  <c r="N61" i="16"/>
  <c r="R61" i="16"/>
  <c r="V61" i="16"/>
  <c r="Z61" i="16"/>
  <c r="AD61" i="16"/>
  <c r="I62" i="16"/>
  <c r="M62" i="16"/>
  <c r="Q62" i="16"/>
  <c r="U62" i="16"/>
  <c r="Y62" i="16"/>
  <c r="AC62" i="16"/>
  <c r="H63" i="16"/>
  <c r="L63" i="16"/>
  <c r="P63" i="16"/>
  <c r="T63" i="16"/>
  <c r="X63" i="16"/>
  <c r="AB63" i="16"/>
  <c r="G64" i="16"/>
  <c r="K64" i="16"/>
  <c r="O64" i="16"/>
  <c r="S64" i="16"/>
  <c r="W64" i="16"/>
  <c r="AA64" i="16"/>
  <c r="AE64" i="16"/>
  <c r="J65" i="16"/>
  <c r="N65" i="16"/>
  <c r="R65" i="16"/>
  <c r="V65" i="16"/>
  <c r="Z65" i="16"/>
  <c r="AD65" i="16"/>
  <c r="I66" i="16"/>
  <c r="M66" i="16"/>
  <c r="Q66" i="16"/>
  <c r="U66" i="16"/>
  <c r="Y66" i="16"/>
  <c r="AC66" i="16"/>
  <c r="H67" i="16"/>
  <c r="L67" i="16"/>
  <c r="P67" i="16"/>
  <c r="T67" i="16"/>
  <c r="X67" i="16"/>
  <c r="AB67" i="16"/>
  <c r="G68" i="16"/>
  <c r="K68" i="16"/>
  <c r="O68" i="16"/>
  <c r="S68" i="16"/>
  <c r="W68" i="16"/>
  <c r="AA68" i="16"/>
  <c r="AE68" i="16"/>
  <c r="J69" i="16"/>
  <c r="N69" i="16"/>
  <c r="R69" i="16"/>
  <c r="V69" i="16"/>
  <c r="Z69" i="16"/>
  <c r="AD69" i="16"/>
  <c r="I70" i="16"/>
  <c r="M70" i="16"/>
  <c r="Q70" i="16"/>
  <c r="L50" i="16"/>
  <c r="K50" i="16"/>
  <c r="O50" i="16"/>
  <c r="S50" i="16"/>
  <c r="W50" i="16"/>
  <c r="AA50" i="16"/>
  <c r="AE50" i="16"/>
  <c r="J51" i="16"/>
  <c r="N51" i="16"/>
  <c r="R51" i="16"/>
  <c r="V51" i="16"/>
  <c r="Z51" i="16"/>
  <c r="AD51" i="16"/>
  <c r="I52" i="16"/>
  <c r="M52" i="16"/>
  <c r="Q52" i="16"/>
  <c r="U52" i="16"/>
  <c r="Y52" i="16"/>
  <c r="AC52" i="16"/>
  <c r="H53" i="16"/>
  <c r="L53" i="16"/>
  <c r="P53" i="16"/>
  <c r="T53" i="16"/>
  <c r="X53" i="16"/>
  <c r="AB53" i="16"/>
  <c r="G54" i="16"/>
  <c r="K54" i="16"/>
  <c r="O54" i="16"/>
  <c r="S54" i="16"/>
  <c r="W54" i="16"/>
  <c r="AA54" i="16"/>
  <c r="AE54" i="16"/>
  <c r="J55" i="16"/>
  <c r="N55" i="16"/>
  <c r="R55" i="16"/>
  <c r="V55" i="16"/>
  <c r="Z55" i="16"/>
  <c r="AD55" i="16"/>
  <c r="I56" i="16"/>
  <c r="M56" i="16"/>
  <c r="Q56" i="16"/>
  <c r="U56" i="16"/>
  <c r="Y56" i="16"/>
  <c r="AC56" i="16"/>
  <c r="H57" i="16"/>
  <c r="L57" i="16"/>
  <c r="P57" i="16"/>
  <c r="T57" i="16"/>
  <c r="X57" i="16"/>
  <c r="AB57" i="16"/>
  <c r="G58" i="16"/>
  <c r="K58" i="16"/>
  <c r="O58" i="16"/>
  <c r="S58" i="16"/>
  <c r="W58" i="16"/>
  <c r="AA58" i="16"/>
  <c r="AE58" i="16"/>
  <c r="J59" i="16"/>
  <c r="N59" i="16"/>
  <c r="R59" i="16"/>
  <c r="V59" i="16"/>
  <c r="Z59" i="16"/>
  <c r="AD59" i="16"/>
  <c r="I60" i="16"/>
  <c r="M60" i="16"/>
  <c r="Q60" i="16"/>
  <c r="U60" i="16"/>
  <c r="Y60" i="16"/>
  <c r="AC60" i="16"/>
  <c r="H61" i="16"/>
  <c r="L61" i="16"/>
  <c r="P61" i="16"/>
  <c r="T61" i="16"/>
  <c r="X61" i="16"/>
  <c r="AB61" i="16"/>
  <c r="G62" i="16"/>
  <c r="K62" i="16"/>
  <c r="O62" i="16"/>
  <c r="S62" i="16"/>
  <c r="W62" i="16"/>
  <c r="AA62" i="16"/>
  <c r="AE62" i="16"/>
  <c r="J63" i="16"/>
  <c r="N63" i="16"/>
  <c r="R63" i="16"/>
  <c r="V63" i="16"/>
  <c r="Z63" i="16"/>
  <c r="AD63" i="16"/>
  <c r="I64" i="16"/>
  <c r="M64" i="16"/>
  <c r="Q64" i="16"/>
  <c r="U64" i="16"/>
  <c r="Y64" i="16"/>
  <c r="AC64" i="16"/>
  <c r="H65" i="16"/>
  <c r="L65" i="16"/>
  <c r="P65" i="16"/>
  <c r="T65" i="16"/>
  <c r="X65" i="16"/>
  <c r="AB65" i="16"/>
  <c r="G66" i="16"/>
  <c r="K66" i="16"/>
  <c r="O66" i="16"/>
  <c r="S66" i="16"/>
  <c r="W66" i="16"/>
  <c r="AA66" i="16"/>
  <c r="AE66" i="16"/>
  <c r="J67" i="16"/>
  <c r="N67" i="16"/>
  <c r="R67" i="16"/>
  <c r="V67" i="16"/>
  <c r="Z67" i="16"/>
  <c r="AD67" i="16"/>
  <c r="I68" i="16"/>
  <c r="M68" i="16"/>
  <c r="Q68" i="16"/>
  <c r="U68" i="16"/>
  <c r="Y68" i="16"/>
  <c r="AC68" i="16"/>
  <c r="H69" i="16"/>
  <c r="L69" i="16"/>
  <c r="P69" i="16"/>
  <c r="T69" i="16"/>
  <c r="X69" i="16"/>
  <c r="AB69" i="16"/>
  <c r="G70" i="16"/>
  <c r="K70" i="16"/>
  <c r="O70" i="16"/>
  <c r="S70" i="16"/>
  <c r="P50" i="16"/>
  <c r="T50" i="16"/>
  <c r="X50" i="16"/>
  <c r="AB50" i="16"/>
  <c r="G51" i="16"/>
  <c r="K51" i="16"/>
  <c r="O51" i="16"/>
  <c r="S51" i="16"/>
  <c r="W51" i="16"/>
  <c r="AA51" i="16"/>
  <c r="AE51" i="16"/>
  <c r="J52" i="16"/>
  <c r="N52" i="16"/>
  <c r="R52" i="16"/>
  <c r="V52" i="16"/>
  <c r="Z52" i="16"/>
  <c r="AD52" i="16"/>
  <c r="I53" i="16"/>
  <c r="M53" i="16"/>
  <c r="Q53" i="16"/>
  <c r="U53" i="16"/>
  <c r="Y53" i="16"/>
  <c r="AC53" i="16"/>
  <c r="H54" i="16"/>
  <c r="L54" i="16"/>
  <c r="P54" i="16"/>
  <c r="T54" i="16"/>
  <c r="X54" i="16"/>
  <c r="AB54" i="16"/>
  <c r="G55" i="16"/>
  <c r="K55" i="16"/>
  <c r="O55" i="16"/>
  <c r="S55" i="16"/>
  <c r="W55" i="16"/>
  <c r="AA55" i="16"/>
  <c r="AE55" i="16"/>
  <c r="J56" i="16"/>
  <c r="N56" i="16"/>
  <c r="R56" i="16"/>
  <c r="V56" i="16"/>
  <c r="Z56" i="16"/>
  <c r="AD56" i="16"/>
  <c r="I57" i="16"/>
  <c r="M57" i="16"/>
  <c r="Q57" i="16"/>
  <c r="U57" i="16"/>
  <c r="Y57" i="16"/>
  <c r="AC57" i="16"/>
  <c r="H58" i="16"/>
  <c r="L58" i="16"/>
  <c r="P58" i="16"/>
  <c r="T58" i="16"/>
  <c r="X58" i="16"/>
  <c r="AB58" i="16"/>
  <c r="G59" i="16"/>
  <c r="K59" i="16"/>
  <c r="O59" i="16"/>
  <c r="S59" i="16"/>
  <c r="W59" i="16"/>
  <c r="AA59" i="16"/>
  <c r="AE59" i="16"/>
  <c r="J60" i="16"/>
  <c r="N60" i="16"/>
  <c r="R60" i="16"/>
  <c r="V60" i="16"/>
  <c r="Z60" i="16"/>
  <c r="AD60" i="16"/>
  <c r="I61" i="16"/>
  <c r="M61" i="16"/>
  <c r="Q61" i="16"/>
  <c r="U61" i="16"/>
  <c r="Y61" i="16"/>
  <c r="AC61" i="16"/>
  <c r="H62" i="16"/>
  <c r="L62" i="16"/>
  <c r="P62" i="16"/>
  <c r="T62" i="16"/>
  <c r="X62" i="16"/>
  <c r="AB62" i="16"/>
  <c r="G63" i="16"/>
  <c r="K63" i="16"/>
  <c r="O63" i="16"/>
  <c r="S63" i="16"/>
  <c r="W63" i="16"/>
  <c r="AA63" i="16"/>
  <c r="AE63" i="16"/>
  <c r="J64" i="16"/>
  <c r="N64" i="16"/>
  <c r="R64" i="16"/>
  <c r="V64" i="16"/>
  <c r="Z64" i="16"/>
  <c r="AD64" i="16"/>
  <c r="I65" i="16"/>
  <c r="M65" i="16"/>
  <c r="Q65" i="16"/>
  <c r="U65" i="16"/>
  <c r="Y65" i="16"/>
  <c r="AC65" i="16"/>
  <c r="H66" i="16"/>
  <c r="L66" i="16"/>
  <c r="P66" i="16"/>
  <c r="T66" i="16"/>
  <c r="X66" i="16"/>
  <c r="AB66" i="16"/>
  <c r="G67" i="16"/>
  <c r="K67" i="16"/>
  <c r="O67" i="16"/>
  <c r="S67" i="16"/>
  <c r="W67" i="16"/>
  <c r="AA67" i="16"/>
  <c r="AE67" i="16"/>
  <c r="J68" i="16"/>
  <c r="N68" i="16"/>
  <c r="R68" i="16"/>
  <c r="V68" i="16"/>
  <c r="Z68" i="16"/>
  <c r="AD68" i="16"/>
  <c r="I69" i="16"/>
  <c r="M69" i="16"/>
  <c r="Q69" i="16"/>
  <c r="U69" i="16"/>
  <c r="Y69" i="16"/>
  <c r="AC69" i="16"/>
  <c r="H70" i="16"/>
  <c r="L70" i="16"/>
  <c r="P70" i="16"/>
  <c r="T70" i="16"/>
  <c r="X70" i="16"/>
  <c r="AB70" i="16"/>
  <c r="G71" i="16"/>
  <c r="K71" i="16"/>
  <c r="O71" i="16"/>
  <c r="S71" i="16"/>
  <c r="W71" i="16"/>
  <c r="AA71" i="16"/>
  <c r="AE71" i="16"/>
  <c r="J72" i="16"/>
  <c r="N72" i="16"/>
  <c r="R72" i="16"/>
  <c r="V72" i="16"/>
  <c r="Z72" i="16"/>
  <c r="AD72" i="16"/>
  <c r="I73" i="16"/>
  <c r="M73" i="16"/>
  <c r="Q73" i="16"/>
  <c r="U73" i="16"/>
  <c r="Y73" i="16"/>
  <c r="AC73" i="16"/>
  <c r="H74" i="16"/>
  <c r="L74" i="16"/>
  <c r="P74" i="16"/>
  <c r="T74" i="16"/>
  <c r="X74" i="16"/>
  <c r="AB74" i="16"/>
  <c r="G75" i="16"/>
  <c r="K75" i="16"/>
  <c r="O75" i="16"/>
  <c r="S75" i="16"/>
  <c r="W75" i="16"/>
  <c r="AA75" i="16"/>
  <c r="AE75" i="16"/>
  <c r="J76" i="16"/>
  <c r="N76" i="16"/>
  <c r="R76" i="16"/>
  <c r="V76" i="16"/>
  <c r="Z76" i="16"/>
  <c r="AD76" i="16"/>
  <c r="I77" i="16"/>
  <c r="M77" i="16"/>
  <c r="Q77" i="16"/>
  <c r="U77" i="16"/>
  <c r="Y77" i="16"/>
  <c r="AC77" i="16"/>
  <c r="H78" i="16"/>
  <c r="L78" i="16"/>
  <c r="P78" i="16"/>
  <c r="T78" i="16"/>
  <c r="X78" i="16"/>
  <c r="AB78" i="16"/>
  <c r="G79" i="16"/>
  <c r="K79" i="16"/>
  <c r="O79" i="16"/>
  <c r="S79" i="16"/>
  <c r="W79" i="16"/>
  <c r="AA79" i="16"/>
  <c r="AE79" i="16"/>
  <c r="J80" i="16"/>
  <c r="N80" i="16"/>
  <c r="R80" i="16"/>
  <c r="V80" i="16"/>
  <c r="Z80" i="16"/>
  <c r="AD80" i="16"/>
  <c r="I81" i="16"/>
  <c r="M81" i="16"/>
  <c r="Q81" i="16"/>
  <c r="U81" i="16"/>
  <c r="Y81" i="16"/>
  <c r="AC81" i="16"/>
  <c r="H82" i="16"/>
  <c r="L82" i="16"/>
  <c r="P82" i="16"/>
  <c r="T82" i="16"/>
  <c r="X82" i="16"/>
  <c r="AB82" i="16"/>
  <c r="G83" i="16"/>
  <c r="K83" i="16"/>
  <c r="O83" i="16"/>
  <c r="S83" i="16"/>
  <c r="W83" i="16"/>
  <c r="AA83" i="16"/>
  <c r="AE83" i="16"/>
  <c r="J84" i="16"/>
  <c r="N84" i="16"/>
  <c r="R84" i="16"/>
  <c r="V84" i="16"/>
  <c r="Z84" i="16"/>
  <c r="AD84" i="16"/>
  <c r="I85" i="16"/>
  <c r="M85" i="16"/>
  <c r="Q85" i="16"/>
  <c r="U85" i="16"/>
  <c r="Y85" i="16"/>
  <c r="AC85" i="16"/>
  <c r="H86" i="16"/>
  <c r="L86" i="16"/>
  <c r="P86" i="16"/>
  <c r="T86" i="16"/>
  <c r="X86" i="16"/>
  <c r="AB86" i="16"/>
  <c r="G87" i="16"/>
  <c r="K87" i="16"/>
  <c r="O87" i="16"/>
  <c r="S87" i="16"/>
  <c r="W87" i="16"/>
  <c r="AA87" i="16"/>
  <c r="AE87" i="16"/>
  <c r="J88" i="16"/>
  <c r="N88" i="16"/>
  <c r="R88" i="16"/>
  <c r="V88" i="16"/>
  <c r="Z88" i="16"/>
  <c r="AD88" i="16"/>
  <c r="I89" i="16"/>
  <c r="M89" i="16"/>
  <c r="Q89" i="16"/>
  <c r="U89" i="16"/>
  <c r="Y89" i="16"/>
  <c r="AC89" i="16"/>
  <c r="H90" i="16"/>
  <c r="L90" i="16"/>
  <c r="P90" i="16"/>
  <c r="T90" i="16"/>
  <c r="X90" i="16"/>
  <c r="AB90" i="16"/>
  <c r="N50" i="16"/>
  <c r="R50" i="16"/>
  <c r="V50" i="16"/>
  <c r="Z50" i="16"/>
  <c r="AD50" i="16"/>
  <c r="I51" i="16"/>
  <c r="M51" i="16"/>
  <c r="Q51" i="16"/>
  <c r="U51" i="16"/>
  <c r="Y51" i="16"/>
  <c r="AC51" i="16"/>
  <c r="H52" i="16"/>
  <c r="L52" i="16"/>
  <c r="P52" i="16"/>
  <c r="T52" i="16"/>
  <c r="X52" i="16"/>
  <c r="AB52" i="16"/>
  <c r="G53" i="16"/>
  <c r="K53" i="16"/>
  <c r="O53" i="16"/>
  <c r="S53" i="16"/>
  <c r="W53" i="16"/>
  <c r="AA53" i="16"/>
  <c r="AE53" i="16"/>
  <c r="J54" i="16"/>
  <c r="N54" i="16"/>
  <c r="R54" i="16"/>
  <c r="V54" i="16"/>
  <c r="Z54" i="16"/>
  <c r="AD54" i="16"/>
  <c r="I55" i="16"/>
  <c r="M55" i="16"/>
  <c r="Q55" i="16"/>
  <c r="U55" i="16"/>
  <c r="Y55" i="16"/>
  <c r="AC55" i="16"/>
  <c r="H56" i="16"/>
  <c r="L56" i="16"/>
  <c r="P56" i="16"/>
  <c r="T56" i="16"/>
  <c r="X56" i="16"/>
  <c r="AB56" i="16"/>
  <c r="G57" i="16"/>
  <c r="K57" i="16"/>
  <c r="O57" i="16"/>
  <c r="S57" i="16"/>
  <c r="W57" i="16"/>
  <c r="AA57" i="16"/>
  <c r="AE57" i="16"/>
  <c r="J58" i="16"/>
  <c r="N58" i="16"/>
  <c r="R58" i="16"/>
  <c r="V58" i="16"/>
  <c r="Z58" i="16"/>
  <c r="AD58" i="16"/>
  <c r="I59" i="16"/>
  <c r="M59" i="16"/>
  <c r="Q59" i="16"/>
  <c r="U59" i="16"/>
  <c r="Y59" i="16"/>
  <c r="AC59" i="16"/>
  <c r="H60" i="16"/>
  <c r="L60" i="16"/>
  <c r="P60" i="16"/>
  <c r="T60" i="16"/>
  <c r="X60" i="16"/>
  <c r="AB60" i="16"/>
  <c r="G61" i="16"/>
  <c r="K61" i="16"/>
  <c r="O61" i="16"/>
  <c r="S61" i="16"/>
  <c r="W61" i="16"/>
  <c r="AA61" i="16"/>
  <c r="AE61" i="16"/>
  <c r="J62" i="16"/>
  <c r="N62" i="16"/>
  <c r="R62" i="16"/>
  <c r="V62" i="16"/>
  <c r="Z62" i="16"/>
  <c r="AD62" i="16"/>
  <c r="I63" i="16"/>
  <c r="M63" i="16"/>
  <c r="Q63" i="16"/>
  <c r="U63" i="16"/>
  <c r="Y63" i="16"/>
  <c r="AC63" i="16"/>
  <c r="H64" i="16"/>
  <c r="L64" i="16"/>
  <c r="P64" i="16"/>
  <c r="T64" i="16"/>
  <c r="X64" i="16"/>
  <c r="AB64" i="16"/>
  <c r="G65" i="16"/>
  <c r="K65" i="16"/>
  <c r="O65" i="16"/>
  <c r="S65" i="16"/>
  <c r="W65" i="16"/>
  <c r="AA65" i="16"/>
  <c r="AE65" i="16"/>
  <c r="J66" i="16"/>
  <c r="N66" i="16"/>
  <c r="R66" i="16"/>
  <c r="V66" i="16"/>
  <c r="Z66" i="16"/>
  <c r="AD66" i="16"/>
  <c r="I67" i="16"/>
  <c r="M67" i="16"/>
  <c r="Q67" i="16"/>
  <c r="U67" i="16"/>
  <c r="Y67" i="16"/>
  <c r="AC67" i="16"/>
  <c r="H68" i="16"/>
  <c r="L68" i="16"/>
  <c r="P68" i="16"/>
  <c r="T68" i="16"/>
  <c r="X68" i="16"/>
  <c r="AB68" i="16"/>
  <c r="G69" i="16"/>
  <c r="K69" i="16"/>
  <c r="O69" i="16"/>
  <c r="S69" i="16"/>
  <c r="W69" i="16"/>
  <c r="AA69" i="16"/>
  <c r="AE69" i="16"/>
  <c r="J70" i="16"/>
  <c r="N70" i="16"/>
  <c r="R70" i="16"/>
  <c r="V70" i="16"/>
  <c r="Z70" i="16"/>
  <c r="AD70" i="16"/>
  <c r="I71" i="16"/>
  <c r="M71" i="16"/>
  <c r="Q71" i="16"/>
  <c r="U71" i="16"/>
  <c r="Y71" i="16"/>
  <c r="AC71" i="16"/>
  <c r="H72" i="16"/>
  <c r="L72" i="16"/>
  <c r="P72" i="16"/>
  <c r="T72" i="16"/>
  <c r="X72" i="16"/>
  <c r="AB72" i="16"/>
  <c r="G73" i="16"/>
  <c r="K73" i="16"/>
  <c r="O73" i="16"/>
  <c r="S73" i="16"/>
  <c r="W73" i="16"/>
  <c r="AA73" i="16"/>
  <c r="AE73" i="16"/>
  <c r="J74" i="16"/>
  <c r="N74" i="16"/>
  <c r="R74" i="16"/>
  <c r="V74" i="16"/>
  <c r="Z74" i="16"/>
  <c r="AD74" i="16"/>
  <c r="I75" i="16"/>
  <c r="M75" i="16"/>
  <c r="Q75" i="16"/>
  <c r="U75" i="16"/>
  <c r="Y75" i="16"/>
  <c r="AC75" i="16"/>
  <c r="H76" i="16"/>
  <c r="L76" i="16"/>
  <c r="P76" i="16"/>
  <c r="T76" i="16"/>
  <c r="X76" i="16"/>
  <c r="AB76" i="16"/>
  <c r="G77" i="16"/>
  <c r="K77" i="16"/>
  <c r="O77" i="16"/>
  <c r="S77" i="16"/>
  <c r="W77" i="16"/>
  <c r="AA77" i="16"/>
  <c r="AE77" i="16"/>
  <c r="J78" i="16"/>
  <c r="N78" i="16"/>
  <c r="R78" i="16"/>
  <c r="V78" i="16"/>
  <c r="Z78" i="16"/>
  <c r="AD78" i="16"/>
  <c r="I79" i="16"/>
  <c r="M79" i="16"/>
  <c r="Q79" i="16"/>
  <c r="U79" i="16"/>
  <c r="Y79" i="16"/>
  <c r="AC79" i="16"/>
  <c r="H80" i="16"/>
  <c r="L80" i="16"/>
  <c r="P80" i="16"/>
  <c r="T80" i="16"/>
  <c r="X80" i="16"/>
  <c r="AB80" i="16"/>
  <c r="G81" i="16"/>
  <c r="K81" i="16"/>
  <c r="O81" i="16"/>
  <c r="S81" i="16"/>
  <c r="W81" i="16"/>
  <c r="AA81" i="16"/>
  <c r="AE81" i="16"/>
  <c r="J82" i="16"/>
  <c r="N82" i="16"/>
  <c r="R82" i="16"/>
  <c r="V82" i="16"/>
  <c r="Z82" i="16"/>
  <c r="AD82" i="16"/>
  <c r="I83" i="16"/>
  <c r="M83" i="16"/>
  <c r="Q83" i="16"/>
  <c r="U83" i="16"/>
  <c r="Y83" i="16"/>
  <c r="AC83" i="16"/>
  <c r="H84" i="16"/>
  <c r="L84" i="16"/>
  <c r="P84" i="16"/>
  <c r="T84" i="16"/>
  <c r="X84" i="16"/>
  <c r="AB84" i="16"/>
  <c r="G85" i="16"/>
  <c r="K85" i="16"/>
  <c r="O85" i="16"/>
  <c r="S85" i="16"/>
  <c r="W85" i="16"/>
  <c r="AA85" i="16"/>
  <c r="AE85" i="16"/>
  <c r="J86" i="16"/>
  <c r="N86" i="16"/>
  <c r="R86" i="16"/>
  <c r="V86" i="16"/>
  <c r="Z86" i="16"/>
  <c r="AD86" i="16"/>
  <c r="I87" i="16"/>
  <c r="M87" i="16"/>
  <c r="Q87" i="16"/>
  <c r="U87" i="16"/>
  <c r="Y87" i="16"/>
  <c r="AC87" i="16"/>
  <c r="H88" i="16"/>
  <c r="L88" i="16"/>
  <c r="P88" i="16"/>
  <c r="T88" i="16"/>
  <c r="X88" i="16"/>
  <c r="AB88" i="16"/>
  <c r="G89" i="16"/>
  <c r="K89" i="16"/>
  <c r="O89" i="16"/>
  <c r="S89" i="16"/>
  <c r="W89" i="16"/>
  <c r="AA89" i="16"/>
  <c r="AE89" i="16"/>
  <c r="J90" i="16"/>
  <c r="N90" i="16"/>
  <c r="R90" i="16"/>
  <c r="V90" i="16"/>
  <c r="Z90" i="16"/>
  <c r="AD90" i="16"/>
  <c r="G91" i="16"/>
  <c r="K91" i="16"/>
  <c r="O91" i="16"/>
  <c r="S91" i="16"/>
  <c r="W91" i="16"/>
  <c r="AA91" i="16"/>
  <c r="AE91" i="16"/>
  <c r="J92" i="16"/>
  <c r="N92" i="16"/>
  <c r="R92" i="16"/>
  <c r="V92" i="16"/>
  <c r="Z92" i="16"/>
  <c r="AD92" i="16"/>
  <c r="I93" i="16"/>
  <c r="M93" i="16"/>
  <c r="Q93" i="16"/>
  <c r="U93" i="16"/>
  <c r="Y93" i="16"/>
  <c r="AC93" i="16"/>
  <c r="H94" i="16"/>
  <c r="L94" i="16"/>
  <c r="P94" i="16"/>
  <c r="T94" i="16"/>
  <c r="X94" i="16"/>
  <c r="W70" i="16"/>
  <c r="AA70" i="16"/>
  <c r="AE70" i="16"/>
  <c r="J71" i="16"/>
  <c r="N71" i="16"/>
  <c r="R71" i="16"/>
  <c r="V71" i="16"/>
  <c r="Z71" i="16"/>
  <c r="AD71" i="16"/>
  <c r="I72" i="16"/>
  <c r="M72" i="16"/>
  <c r="Q72" i="16"/>
  <c r="U72" i="16"/>
  <c r="Y72" i="16"/>
  <c r="AC72" i="16"/>
  <c r="H73" i="16"/>
  <c r="L73" i="16"/>
  <c r="P73" i="16"/>
  <c r="T73" i="16"/>
  <c r="X73" i="16"/>
  <c r="AB73" i="16"/>
  <c r="G74" i="16"/>
  <c r="K74" i="16"/>
  <c r="O74" i="16"/>
  <c r="S74" i="16"/>
  <c r="W74" i="16"/>
  <c r="AA74" i="16"/>
  <c r="AE74" i="16"/>
  <c r="J75" i="16"/>
  <c r="N75" i="16"/>
  <c r="R75" i="16"/>
  <c r="V75" i="16"/>
  <c r="Z75" i="16"/>
  <c r="AD75" i="16"/>
  <c r="I76" i="16"/>
  <c r="M76" i="16"/>
  <c r="Q76" i="16"/>
  <c r="U76" i="16"/>
  <c r="Y76" i="16"/>
  <c r="AC76" i="16"/>
  <c r="H77" i="16"/>
  <c r="L77" i="16"/>
  <c r="P77" i="16"/>
  <c r="T77" i="16"/>
  <c r="X77" i="16"/>
  <c r="AB77" i="16"/>
  <c r="G78" i="16"/>
  <c r="K78" i="16"/>
  <c r="O78" i="16"/>
  <c r="S78" i="16"/>
  <c r="W78" i="16"/>
  <c r="AA78" i="16"/>
  <c r="AE78" i="16"/>
  <c r="J79" i="16"/>
  <c r="N79" i="16"/>
  <c r="R79" i="16"/>
  <c r="V79" i="16"/>
  <c r="Z79" i="16"/>
  <c r="AD79" i="16"/>
  <c r="I80" i="16"/>
  <c r="M80" i="16"/>
  <c r="Q80" i="16"/>
  <c r="U80" i="16"/>
  <c r="Y80" i="16"/>
  <c r="AC80" i="16"/>
  <c r="H81" i="16"/>
  <c r="L81" i="16"/>
  <c r="P81" i="16"/>
  <c r="T81" i="16"/>
  <c r="X81" i="16"/>
  <c r="AB81" i="16"/>
  <c r="G82" i="16"/>
  <c r="K82" i="16"/>
  <c r="O82" i="16"/>
  <c r="S82" i="16"/>
  <c r="W82" i="16"/>
  <c r="AA82" i="16"/>
  <c r="AE82" i="16"/>
  <c r="J83" i="16"/>
  <c r="N83" i="16"/>
  <c r="R83" i="16"/>
  <c r="V83" i="16"/>
  <c r="Z83" i="16"/>
  <c r="AD83" i="16"/>
  <c r="I84" i="16"/>
  <c r="M84" i="16"/>
  <c r="Q84" i="16"/>
  <c r="U84" i="16"/>
  <c r="Y84" i="16"/>
  <c r="AC84" i="16"/>
  <c r="H85" i="16"/>
  <c r="L85" i="16"/>
  <c r="P85" i="16"/>
  <c r="T85" i="16"/>
  <c r="X85" i="16"/>
  <c r="AB85" i="16"/>
  <c r="G86" i="16"/>
  <c r="K86" i="16"/>
  <c r="O86" i="16"/>
  <c r="S86" i="16"/>
  <c r="W86" i="16"/>
  <c r="AA86" i="16"/>
  <c r="AE86" i="16"/>
  <c r="J87" i="16"/>
  <c r="N87" i="16"/>
  <c r="R87" i="16"/>
  <c r="V87" i="16"/>
  <c r="Z87" i="16"/>
  <c r="AD87" i="16"/>
  <c r="I88" i="16"/>
  <c r="M88" i="16"/>
  <c r="Q88" i="16"/>
  <c r="U88" i="16"/>
  <c r="Y88" i="16"/>
  <c r="AC88" i="16"/>
  <c r="H89" i="16"/>
  <c r="L89" i="16"/>
  <c r="P89" i="16"/>
  <c r="T89" i="16"/>
  <c r="X89" i="16"/>
  <c r="AB89" i="16"/>
  <c r="G90" i="16"/>
  <c r="K90" i="16"/>
  <c r="O90" i="16"/>
  <c r="S90" i="16"/>
  <c r="W90" i="16"/>
  <c r="AA90" i="16"/>
  <c r="AE90" i="16"/>
  <c r="N91" i="16"/>
  <c r="V91" i="16"/>
  <c r="AD91" i="16"/>
  <c r="M92" i="16"/>
  <c r="U92" i="16"/>
  <c r="AC92" i="16"/>
  <c r="L93" i="16"/>
  <c r="T93" i="16"/>
  <c r="AB93" i="16"/>
  <c r="K94" i="16"/>
  <c r="S94" i="16"/>
  <c r="Z94" i="16"/>
  <c r="AD94" i="16"/>
  <c r="I95" i="16"/>
  <c r="M95" i="16"/>
  <c r="Q95" i="16"/>
  <c r="U95" i="16"/>
  <c r="Y95" i="16"/>
  <c r="AC95" i="16"/>
  <c r="H96" i="16"/>
  <c r="L96" i="16"/>
  <c r="P96" i="16"/>
  <c r="T96" i="16"/>
  <c r="X96" i="16"/>
  <c r="AB96" i="16"/>
  <c r="G97" i="16"/>
  <c r="K97" i="16"/>
  <c r="O97" i="16"/>
  <c r="S97" i="16"/>
  <c r="W97" i="16"/>
  <c r="AA97" i="16"/>
  <c r="AE97" i="16"/>
  <c r="J98" i="16"/>
  <c r="N98" i="16"/>
  <c r="R98" i="16"/>
  <c r="V98" i="16"/>
  <c r="Z98" i="16"/>
  <c r="AD98" i="16"/>
  <c r="I99" i="16"/>
  <c r="M99" i="16"/>
  <c r="Q99" i="16"/>
  <c r="U99" i="16"/>
  <c r="Y99" i="16"/>
  <c r="AC99" i="16"/>
  <c r="H100" i="16"/>
  <c r="L100" i="16"/>
  <c r="P100" i="16"/>
  <c r="T100" i="16"/>
  <c r="X100" i="16"/>
  <c r="AB100" i="16"/>
  <c r="G101" i="16"/>
  <c r="K101" i="16"/>
  <c r="O101" i="16"/>
  <c r="S101" i="16"/>
  <c r="W101" i="16"/>
  <c r="AA101" i="16"/>
  <c r="AE101" i="16"/>
  <c r="J102" i="16"/>
  <c r="N102" i="16"/>
  <c r="R102" i="16"/>
  <c r="V102" i="16"/>
  <c r="Z102" i="16"/>
  <c r="AD102" i="16"/>
  <c r="I103" i="16"/>
  <c r="M103" i="16"/>
  <c r="Q103" i="16"/>
  <c r="U103" i="16"/>
  <c r="Y103" i="16"/>
  <c r="AC103" i="16"/>
  <c r="H104" i="16"/>
  <c r="L104" i="16"/>
  <c r="P104" i="16"/>
  <c r="T104" i="16"/>
  <c r="X104" i="16"/>
  <c r="AB104" i="16"/>
  <c r="G105" i="16"/>
  <c r="K105" i="16"/>
  <c r="O105" i="16"/>
  <c r="S105" i="16"/>
  <c r="W105" i="16"/>
  <c r="AA105" i="16"/>
  <c r="AE105" i="16"/>
  <c r="J106" i="16"/>
  <c r="N106" i="16"/>
  <c r="R106" i="16"/>
  <c r="V106" i="16"/>
  <c r="Z106" i="16"/>
  <c r="AD106" i="16"/>
  <c r="I107" i="16"/>
  <c r="M107" i="16"/>
  <c r="Q107" i="16"/>
  <c r="U107" i="16"/>
  <c r="Y107" i="16"/>
  <c r="AC107" i="16"/>
  <c r="H108" i="16"/>
  <c r="L108" i="16"/>
  <c r="P108" i="16"/>
  <c r="T108" i="16"/>
  <c r="X108" i="16"/>
  <c r="AB108" i="16"/>
  <c r="G109" i="16"/>
  <c r="K109" i="16"/>
  <c r="I91" i="16"/>
  <c r="M91" i="16"/>
  <c r="Q91" i="16"/>
  <c r="U91" i="16"/>
  <c r="Y91" i="16"/>
  <c r="AC91" i="16"/>
  <c r="H92" i="16"/>
  <c r="L92" i="16"/>
  <c r="P92" i="16"/>
  <c r="T92" i="16"/>
  <c r="X92" i="16"/>
  <c r="AB92" i="16"/>
  <c r="G93" i="16"/>
  <c r="K93" i="16"/>
  <c r="O93" i="16"/>
  <c r="S93" i="16"/>
  <c r="W93" i="16"/>
  <c r="AA93" i="16"/>
  <c r="AE93" i="16"/>
  <c r="J94" i="16"/>
  <c r="N94" i="16"/>
  <c r="R94" i="16"/>
  <c r="V94" i="16"/>
  <c r="U70" i="16"/>
  <c r="Y70" i="16"/>
  <c r="AC70" i="16"/>
  <c r="H71" i="16"/>
  <c r="L71" i="16"/>
  <c r="P71" i="16"/>
  <c r="T71" i="16"/>
  <c r="X71" i="16"/>
  <c r="AB71" i="16"/>
  <c r="G72" i="16"/>
  <c r="K72" i="16"/>
  <c r="O72" i="16"/>
  <c r="S72" i="16"/>
  <c r="W72" i="16"/>
  <c r="AA72" i="16"/>
  <c r="AE72" i="16"/>
  <c r="J73" i="16"/>
  <c r="N73" i="16"/>
  <c r="R73" i="16"/>
  <c r="V73" i="16"/>
  <c r="Z73" i="16"/>
  <c r="AD73" i="16"/>
  <c r="I74" i="16"/>
  <c r="M74" i="16"/>
  <c r="Q74" i="16"/>
  <c r="U74" i="16"/>
  <c r="Y74" i="16"/>
  <c r="AC74" i="16"/>
  <c r="H75" i="16"/>
  <c r="L75" i="16"/>
  <c r="P75" i="16"/>
  <c r="T75" i="16"/>
  <c r="X75" i="16"/>
  <c r="AB75" i="16"/>
  <c r="G76" i="16"/>
  <c r="K76" i="16"/>
  <c r="O76" i="16"/>
  <c r="S76" i="16"/>
  <c r="W76" i="16"/>
  <c r="AA76" i="16"/>
  <c r="AE76" i="16"/>
  <c r="J77" i="16"/>
  <c r="N77" i="16"/>
  <c r="R77" i="16"/>
  <c r="V77" i="16"/>
  <c r="Z77" i="16"/>
  <c r="AD77" i="16"/>
  <c r="I78" i="16"/>
  <c r="M78" i="16"/>
  <c r="Q78" i="16"/>
  <c r="U78" i="16"/>
  <c r="Y78" i="16"/>
  <c r="AC78" i="16"/>
  <c r="H79" i="16"/>
  <c r="L79" i="16"/>
  <c r="P79" i="16"/>
  <c r="T79" i="16"/>
  <c r="X79" i="16"/>
  <c r="AB79" i="16"/>
  <c r="G80" i="16"/>
  <c r="K80" i="16"/>
  <c r="O80" i="16"/>
  <c r="S80" i="16"/>
  <c r="W80" i="16"/>
  <c r="AA80" i="16"/>
  <c r="AE80" i="16"/>
  <c r="J81" i="16"/>
  <c r="N81" i="16"/>
  <c r="R81" i="16"/>
  <c r="V81" i="16"/>
  <c r="Z81" i="16"/>
  <c r="AD81" i="16"/>
  <c r="I82" i="16"/>
  <c r="M82" i="16"/>
  <c r="Q82" i="16"/>
  <c r="U82" i="16"/>
  <c r="Y82" i="16"/>
  <c r="AC82" i="16"/>
  <c r="H83" i="16"/>
  <c r="L83" i="16"/>
  <c r="P83" i="16"/>
  <c r="T83" i="16"/>
  <c r="X83" i="16"/>
  <c r="AB83" i="16"/>
  <c r="G84" i="16"/>
  <c r="K84" i="16"/>
  <c r="O84" i="16"/>
  <c r="S84" i="16"/>
  <c r="W84" i="16"/>
  <c r="AA84" i="16"/>
  <c r="AE84" i="16"/>
  <c r="J85" i="16"/>
  <c r="N85" i="16"/>
  <c r="R85" i="16"/>
  <c r="V85" i="16"/>
  <c r="Z85" i="16"/>
  <c r="AD85" i="16"/>
  <c r="I86" i="16"/>
  <c r="M86" i="16"/>
  <c r="Q86" i="16"/>
  <c r="U86" i="16"/>
  <c r="Y86" i="16"/>
  <c r="AC86" i="16"/>
  <c r="H87" i="16"/>
  <c r="L87" i="16"/>
  <c r="P87" i="16"/>
  <c r="T87" i="16"/>
  <c r="X87" i="16"/>
  <c r="AB87" i="16"/>
  <c r="G88" i="16"/>
  <c r="K88" i="16"/>
  <c r="O88" i="16"/>
  <c r="S88" i="16"/>
  <c r="W88" i="16"/>
  <c r="AA88" i="16"/>
  <c r="AE88" i="16"/>
  <c r="J89" i="16"/>
  <c r="N89" i="16"/>
  <c r="R89" i="16"/>
  <c r="V89" i="16"/>
  <c r="Z89" i="16"/>
  <c r="AD89" i="16"/>
  <c r="I90" i="16"/>
  <c r="M90" i="16"/>
  <c r="Q90" i="16"/>
  <c r="U90" i="16"/>
  <c r="Y90" i="16"/>
  <c r="AC90" i="16"/>
  <c r="J91" i="16"/>
  <c r="R91" i="16"/>
  <c r="Z91" i="16"/>
  <c r="I92" i="16"/>
  <c r="Q92" i="16"/>
  <c r="Y92" i="16"/>
  <c r="H93" i="16"/>
  <c r="P93" i="16"/>
  <c r="X93" i="16"/>
  <c r="G94" i="16"/>
  <c r="O94" i="16"/>
  <c r="W94" i="16"/>
  <c r="AB94" i="16"/>
  <c r="G95" i="16"/>
  <c r="K95" i="16"/>
  <c r="O95" i="16"/>
  <c r="S95" i="16"/>
  <c r="W95" i="16"/>
  <c r="AA95" i="16"/>
  <c r="AE95" i="16"/>
  <c r="J96" i="16"/>
  <c r="N96" i="16"/>
  <c r="R96" i="16"/>
  <c r="V96" i="16"/>
  <c r="Z96" i="16"/>
  <c r="AD96" i="16"/>
  <c r="I97" i="16"/>
  <c r="M97" i="16"/>
  <c r="Q97" i="16"/>
  <c r="U97" i="16"/>
  <c r="Y97" i="16"/>
  <c r="AC97" i="16"/>
  <c r="H98" i="16"/>
  <c r="L98" i="16"/>
  <c r="P98" i="16"/>
  <c r="T98" i="16"/>
  <c r="X98" i="16"/>
  <c r="AB98" i="16"/>
  <c r="G99" i="16"/>
  <c r="K99" i="16"/>
  <c r="O99" i="16"/>
  <c r="S99" i="16"/>
  <c r="W99" i="16"/>
  <c r="AA99" i="16"/>
  <c r="AE99" i="16"/>
  <c r="J100" i="16"/>
  <c r="N100" i="16"/>
  <c r="R100" i="16"/>
  <c r="V100" i="16"/>
  <c r="Z100" i="16"/>
  <c r="AD100" i="16"/>
  <c r="I101" i="16"/>
  <c r="M101" i="16"/>
  <c r="Q101" i="16"/>
  <c r="U101" i="16"/>
  <c r="Y101" i="16"/>
  <c r="AC101" i="16"/>
  <c r="H102" i="16"/>
  <c r="L102" i="16"/>
  <c r="P102" i="16"/>
  <c r="T102" i="16"/>
  <c r="X102" i="16"/>
  <c r="AB102" i="16"/>
  <c r="G103" i="16"/>
  <c r="K103" i="16"/>
  <c r="O103" i="16"/>
  <c r="S103" i="16"/>
  <c r="W103" i="16"/>
  <c r="AA103" i="16"/>
  <c r="AE103" i="16"/>
  <c r="J104" i="16"/>
  <c r="N104" i="16"/>
  <c r="R104" i="16"/>
  <c r="V104" i="16"/>
  <c r="Z104" i="16"/>
  <c r="AD104" i="16"/>
  <c r="I105" i="16"/>
  <c r="M105" i="16"/>
  <c r="Q105" i="16"/>
  <c r="U105" i="16"/>
  <c r="Y105" i="16"/>
  <c r="AC105" i="16"/>
  <c r="H106" i="16"/>
  <c r="L106" i="16"/>
  <c r="P106" i="16"/>
  <c r="T106" i="16"/>
  <c r="X106" i="16"/>
  <c r="AB106" i="16"/>
  <c r="G107" i="16"/>
  <c r="K107" i="16"/>
  <c r="O107" i="16"/>
  <c r="S107" i="16"/>
  <c r="W107" i="16"/>
  <c r="AA107" i="16"/>
  <c r="AE107" i="16"/>
  <c r="J108" i="16"/>
  <c r="N108" i="16"/>
  <c r="R108" i="16"/>
  <c r="V108" i="16"/>
  <c r="Z108" i="16"/>
  <c r="AD108" i="16"/>
  <c r="I109" i="16"/>
  <c r="M109" i="16"/>
  <c r="Q109" i="16"/>
  <c r="O109" i="16"/>
  <c r="U109" i="16"/>
  <c r="Y109" i="16"/>
  <c r="AC109" i="16"/>
  <c r="H110" i="16"/>
  <c r="L110" i="16"/>
  <c r="P110" i="16"/>
  <c r="T110" i="16"/>
  <c r="X110" i="16"/>
  <c r="AB110" i="16"/>
  <c r="G111" i="16"/>
  <c r="K111" i="16"/>
  <c r="O111" i="16"/>
  <c r="S111" i="16"/>
  <c r="W111" i="16"/>
  <c r="AA111" i="16"/>
  <c r="AE111" i="16"/>
  <c r="J112" i="16"/>
  <c r="N112" i="16"/>
  <c r="R112" i="16"/>
  <c r="V112" i="16"/>
  <c r="Z112" i="16"/>
  <c r="AD112" i="16"/>
  <c r="I113" i="16"/>
  <c r="M113" i="16"/>
  <c r="Q113" i="16"/>
  <c r="U113" i="16"/>
  <c r="Y113" i="16"/>
  <c r="AC113" i="16"/>
  <c r="H114" i="16"/>
  <c r="L114" i="16"/>
  <c r="P114" i="16"/>
  <c r="T114" i="16"/>
  <c r="X114" i="16"/>
  <c r="AB114" i="16"/>
  <c r="G115" i="16"/>
  <c r="K115" i="16"/>
  <c r="O115" i="16"/>
  <c r="S115" i="16"/>
  <c r="W115" i="16"/>
  <c r="AA115" i="16"/>
  <c r="AE115" i="16"/>
  <c r="J116" i="16"/>
  <c r="N116" i="16"/>
  <c r="R116" i="16"/>
  <c r="V116" i="16"/>
  <c r="Z116" i="16"/>
  <c r="AD116" i="16"/>
  <c r="I117" i="16"/>
  <c r="M117" i="16"/>
  <c r="Q117" i="16"/>
  <c r="U117" i="16"/>
  <c r="Y117" i="16"/>
  <c r="AC117" i="16"/>
  <c r="H118" i="16"/>
  <c r="L118" i="16"/>
  <c r="P118" i="16"/>
  <c r="T118" i="16"/>
  <c r="X118" i="16"/>
  <c r="AB118" i="16"/>
  <c r="G119" i="16"/>
  <c r="K119" i="16"/>
  <c r="O119" i="16"/>
  <c r="S119" i="16"/>
  <c r="W119" i="16"/>
  <c r="AA119" i="16"/>
  <c r="AE119" i="16"/>
  <c r="J120" i="16"/>
  <c r="N120" i="16"/>
  <c r="R120" i="16"/>
  <c r="V120" i="16"/>
  <c r="Z120" i="16"/>
  <c r="AD120" i="16"/>
  <c r="I121" i="16"/>
  <c r="M121" i="16"/>
  <c r="Q121" i="16"/>
  <c r="U121" i="16"/>
  <c r="Y121" i="16"/>
  <c r="AC121" i="16"/>
  <c r="H122" i="16"/>
  <c r="L122" i="16"/>
  <c r="P122" i="16"/>
  <c r="T122" i="16"/>
  <c r="X122" i="16"/>
  <c r="AB122" i="16"/>
  <c r="G123" i="16"/>
  <c r="K123" i="16"/>
  <c r="O123" i="16"/>
  <c r="S123" i="16"/>
  <c r="W123" i="16"/>
  <c r="AA123" i="16"/>
  <c r="AE123" i="16"/>
  <c r="J124" i="16"/>
  <c r="N124" i="16"/>
  <c r="R124" i="16"/>
  <c r="V124" i="16"/>
  <c r="Z124" i="16"/>
  <c r="AD124" i="16"/>
  <c r="I125" i="16"/>
  <c r="M125" i="16"/>
  <c r="Q125" i="16"/>
  <c r="U125" i="16"/>
  <c r="Y125" i="16"/>
  <c r="AC125" i="16"/>
  <c r="H126" i="16"/>
  <c r="L126" i="16"/>
  <c r="P126" i="16"/>
  <c r="T126" i="16"/>
  <c r="X126" i="16"/>
  <c r="AB126" i="16"/>
  <c r="G127" i="16"/>
  <c r="K127" i="16"/>
  <c r="O127" i="16"/>
  <c r="S127" i="16"/>
  <c r="W127" i="16"/>
  <c r="AA127" i="16"/>
  <c r="AE127" i="16"/>
  <c r="J128" i="16"/>
  <c r="N128" i="16"/>
  <c r="R128" i="16"/>
  <c r="V128" i="16"/>
  <c r="Z128" i="16"/>
  <c r="AD128" i="16"/>
  <c r="I129" i="16"/>
  <c r="M129" i="16"/>
  <c r="Q129" i="16"/>
  <c r="U129" i="16"/>
  <c r="Y129" i="16"/>
  <c r="AC129" i="16"/>
  <c r="H130" i="16"/>
  <c r="L130" i="16"/>
  <c r="P130" i="16"/>
  <c r="T130" i="16"/>
  <c r="X130" i="16"/>
  <c r="AB130" i="16"/>
  <c r="G131" i="16"/>
  <c r="K131" i="16"/>
  <c r="O131" i="16"/>
  <c r="S131" i="16"/>
  <c r="W131" i="16"/>
  <c r="AA131" i="16"/>
  <c r="AE131" i="16"/>
  <c r="J132" i="16"/>
  <c r="N132" i="16"/>
  <c r="R132" i="16"/>
  <c r="V132" i="16"/>
  <c r="Z132" i="16"/>
  <c r="AD132" i="16"/>
  <c r="I133" i="16"/>
  <c r="M133" i="16"/>
  <c r="Q133" i="16"/>
  <c r="U133" i="16"/>
  <c r="H91" i="16"/>
  <c r="P91" i="16"/>
  <c r="X91" i="16"/>
  <c r="G92" i="16"/>
  <c r="O92" i="16"/>
  <c r="W92" i="16"/>
  <c r="AE92" i="16"/>
  <c r="N93" i="16"/>
  <c r="V93" i="16"/>
  <c r="AD93" i="16"/>
  <c r="M94" i="16"/>
  <c r="U94" i="16"/>
  <c r="AA94" i="16"/>
  <c r="AE94" i="16"/>
  <c r="J95" i="16"/>
  <c r="N95" i="16"/>
  <c r="R95" i="16"/>
  <c r="V95" i="16"/>
  <c r="Z95" i="16"/>
  <c r="AD95" i="16"/>
  <c r="I96" i="16"/>
  <c r="M96" i="16"/>
  <c r="Q96" i="16"/>
  <c r="U96" i="16"/>
  <c r="Y96" i="16"/>
  <c r="AC96" i="16"/>
  <c r="H97" i="16"/>
  <c r="L97" i="16"/>
  <c r="P97" i="16"/>
  <c r="T97" i="16"/>
  <c r="X97" i="16"/>
  <c r="AB97" i="16"/>
  <c r="G98" i="16"/>
  <c r="K98" i="16"/>
  <c r="O98" i="16"/>
  <c r="S98" i="16"/>
  <c r="W98" i="16"/>
  <c r="AA98" i="16"/>
  <c r="AE98" i="16"/>
  <c r="J99" i="16"/>
  <c r="N99" i="16"/>
  <c r="R99" i="16"/>
  <c r="V99" i="16"/>
  <c r="Z99" i="16"/>
  <c r="AD99" i="16"/>
  <c r="I100" i="16"/>
  <c r="M100" i="16"/>
  <c r="Q100" i="16"/>
  <c r="U100" i="16"/>
  <c r="Y100" i="16"/>
  <c r="AC100" i="16"/>
  <c r="H101" i="16"/>
  <c r="L101" i="16"/>
  <c r="P101" i="16"/>
  <c r="T101" i="16"/>
  <c r="X101" i="16"/>
  <c r="AB101" i="16"/>
  <c r="G102" i="16"/>
  <c r="K102" i="16"/>
  <c r="O102" i="16"/>
  <c r="S102" i="16"/>
  <c r="W102" i="16"/>
  <c r="AA102" i="16"/>
  <c r="AE102" i="16"/>
  <c r="J103" i="16"/>
  <c r="N103" i="16"/>
  <c r="R103" i="16"/>
  <c r="V103" i="16"/>
  <c r="Z103" i="16"/>
  <c r="AD103" i="16"/>
  <c r="I104" i="16"/>
  <c r="M104" i="16"/>
  <c r="Q104" i="16"/>
  <c r="U104" i="16"/>
  <c r="Y104" i="16"/>
  <c r="AC104" i="16"/>
  <c r="H105" i="16"/>
  <c r="L105" i="16"/>
  <c r="P105" i="16"/>
  <c r="T105" i="16"/>
  <c r="X105" i="16"/>
  <c r="AB105" i="16"/>
  <c r="G106" i="16"/>
  <c r="K106" i="16"/>
  <c r="O106" i="16"/>
  <c r="S106" i="16"/>
  <c r="W106" i="16"/>
  <c r="AA106" i="16"/>
  <c r="AE106" i="16"/>
  <c r="J107" i="16"/>
  <c r="N107" i="16"/>
  <c r="R107" i="16"/>
  <c r="V107" i="16"/>
  <c r="Z107" i="16"/>
  <c r="AD107" i="16"/>
  <c r="I108" i="16"/>
  <c r="M108" i="16"/>
  <c r="Q108" i="16"/>
  <c r="U108" i="16"/>
  <c r="Y108" i="16"/>
  <c r="AC108" i="16"/>
  <c r="H109" i="16"/>
  <c r="L109" i="16"/>
  <c r="P109" i="16"/>
  <c r="T109" i="16"/>
  <c r="X109" i="16"/>
  <c r="AB109" i="16"/>
  <c r="G110" i="16"/>
  <c r="K110" i="16"/>
  <c r="O110" i="16"/>
  <c r="S110" i="16"/>
  <c r="W110" i="16"/>
  <c r="AA110" i="16"/>
  <c r="AE110" i="16"/>
  <c r="J111" i="16"/>
  <c r="N111" i="16"/>
  <c r="R111" i="16"/>
  <c r="V111" i="16"/>
  <c r="Z111" i="16"/>
  <c r="AD111" i="16"/>
  <c r="I112" i="16"/>
  <c r="M112" i="16"/>
  <c r="Q112" i="16"/>
  <c r="U112" i="16"/>
  <c r="Y112" i="16"/>
  <c r="AC112" i="16"/>
  <c r="H113" i="16"/>
  <c r="L113" i="16"/>
  <c r="P113" i="16"/>
  <c r="T113" i="16"/>
  <c r="X113" i="16"/>
  <c r="AB113" i="16"/>
  <c r="G114" i="16"/>
  <c r="K114" i="16"/>
  <c r="O114" i="16"/>
  <c r="S114" i="16"/>
  <c r="W114" i="16"/>
  <c r="AA114" i="16"/>
  <c r="AE114" i="16"/>
  <c r="J115" i="16"/>
  <c r="N115" i="16"/>
  <c r="R115" i="16"/>
  <c r="V115" i="16"/>
  <c r="Z115" i="16"/>
  <c r="AD115" i="16"/>
  <c r="I116" i="16"/>
  <c r="M116" i="16"/>
  <c r="Q116" i="16"/>
  <c r="U116" i="16"/>
  <c r="Y116" i="16"/>
  <c r="AC116" i="16"/>
  <c r="H117" i="16"/>
  <c r="L117" i="16"/>
  <c r="P117" i="16"/>
  <c r="T117" i="16"/>
  <c r="X117" i="16"/>
  <c r="AB117" i="16"/>
  <c r="G118" i="16"/>
  <c r="K118" i="16"/>
  <c r="O118" i="16"/>
  <c r="S118" i="16"/>
  <c r="W118" i="16"/>
  <c r="AA118" i="16"/>
  <c r="AE118" i="16"/>
  <c r="J119" i="16"/>
  <c r="N119" i="16"/>
  <c r="R119" i="16"/>
  <c r="V119" i="16"/>
  <c r="Z119" i="16"/>
  <c r="AD119" i="16"/>
  <c r="I120" i="16"/>
  <c r="M120" i="16"/>
  <c r="Q120" i="16"/>
  <c r="U120" i="16"/>
  <c r="Y120" i="16"/>
  <c r="AC120" i="16"/>
  <c r="H121" i="16"/>
  <c r="L121" i="16"/>
  <c r="P121" i="16"/>
  <c r="T121" i="16"/>
  <c r="X121" i="16"/>
  <c r="AB121" i="16"/>
  <c r="G122" i="16"/>
  <c r="K122" i="16"/>
  <c r="O122" i="16"/>
  <c r="S122" i="16"/>
  <c r="W122" i="16"/>
  <c r="AA122" i="16"/>
  <c r="AE122" i="16"/>
  <c r="J123" i="16"/>
  <c r="N123" i="16"/>
  <c r="R123" i="16"/>
  <c r="V123" i="16"/>
  <c r="Z123" i="16"/>
  <c r="AD123" i="16"/>
  <c r="I124" i="16"/>
  <c r="M124" i="16"/>
  <c r="Q124" i="16"/>
  <c r="U124" i="16"/>
  <c r="Y124" i="16"/>
  <c r="AC124" i="16"/>
  <c r="H125" i="16"/>
  <c r="L125" i="16"/>
  <c r="P125" i="16"/>
  <c r="T125" i="16"/>
  <c r="X125" i="16"/>
  <c r="AB125" i="16"/>
  <c r="G126" i="16"/>
  <c r="K126" i="16"/>
  <c r="O126" i="16"/>
  <c r="S126" i="16"/>
  <c r="W126" i="16"/>
  <c r="AA126" i="16"/>
  <c r="AE126" i="16"/>
  <c r="J127" i="16"/>
  <c r="N127" i="16"/>
  <c r="R127" i="16"/>
  <c r="V127" i="16"/>
  <c r="Z127" i="16"/>
  <c r="AD127" i="16"/>
  <c r="I128" i="16"/>
  <c r="M128" i="16"/>
  <c r="Q128" i="16"/>
  <c r="U128" i="16"/>
  <c r="Y128" i="16"/>
  <c r="AC128" i="16"/>
  <c r="H129" i="16"/>
  <c r="L129" i="16"/>
  <c r="P129" i="16"/>
  <c r="T129" i="16"/>
  <c r="X129" i="16"/>
  <c r="AB129" i="16"/>
  <c r="G130" i="16"/>
  <c r="K130" i="16"/>
  <c r="O130" i="16"/>
  <c r="S130" i="16"/>
  <c r="W130" i="16"/>
  <c r="AA130" i="16"/>
  <c r="AE130" i="16"/>
  <c r="J131" i="16"/>
  <c r="N131" i="16"/>
  <c r="R131" i="16"/>
  <c r="V131" i="16"/>
  <c r="Z131" i="16"/>
  <c r="AD131" i="16"/>
  <c r="I132" i="16"/>
  <c r="M132" i="16"/>
  <c r="Q132" i="16"/>
  <c r="U132" i="16"/>
  <c r="Y132" i="16"/>
  <c r="AC132" i="16"/>
  <c r="H133" i="16"/>
  <c r="L133" i="16"/>
  <c r="P133" i="16"/>
  <c r="T133" i="16"/>
  <c r="X133" i="16"/>
  <c r="AA133" i="16"/>
  <c r="AE133" i="16"/>
  <c r="J134" i="16"/>
  <c r="N134" i="16"/>
  <c r="R134" i="16"/>
  <c r="V134" i="16"/>
  <c r="Z134" i="16"/>
  <c r="AD134" i="16"/>
  <c r="I135" i="16"/>
  <c r="M135" i="16"/>
  <c r="Q135" i="16"/>
  <c r="U135" i="16"/>
  <c r="Y135" i="16"/>
  <c r="AC135" i="16"/>
  <c r="H136" i="16"/>
  <c r="L136" i="16"/>
  <c r="P136" i="16"/>
  <c r="T136" i="16"/>
  <c r="X136" i="16"/>
  <c r="AB136" i="16"/>
  <c r="G137" i="16"/>
  <c r="K137" i="16"/>
  <c r="O137" i="16"/>
  <c r="S137" i="16"/>
  <c r="W137" i="16"/>
  <c r="AA137" i="16"/>
  <c r="AE137" i="16"/>
  <c r="J138" i="16"/>
  <c r="N138" i="16"/>
  <c r="R138" i="16"/>
  <c r="V138" i="16"/>
  <c r="Z138" i="16"/>
  <c r="AD138" i="16"/>
  <c r="I139" i="16"/>
  <c r="M139" i="16"/>
  <c r="Q139" i="16"/>
  <c r="U139" i="16"/>
  <c r="Y139" i="16"/>
  <c r="AC139" i="16"/>
  <c r="H140" i="16"/>
  <c r="L140" i="16"/>
  <c r="P140" i="16"/>
  <c r="T140" i="16"/>
  <c r="X140" i="16"/>
  <c r="AB140" i="16"/>
  <c r="G141" i="16"/>
  <c r="K141" i="16"/>
  <c r="O141" i="16"/>
  <c r="S141" i="16"/>
  <c r="W141" i="16"/>
  <c r="AA141" i="16"/>
  <c r="AE141" i="16"/>
  <c r="J142" i="16"/>
  <c r="N142" i="16"/>
  <c r="R142" i="16"/>
  <c r="V142" i="16"/>
  <c r="Z142" i="16"/>
  <c r="AD142" i="16"/>
  <c r="I143" i="16"/>
  <c r="M143" i="16"/>
  <c r="Q143" i="16"/>
  <c r="U143" i="16"/>
  <c r="Y143" i="16"/>
  <c r="AC143" i="16"/>
  <c r="H144" i="16"/>
  <c r="L144" i="16"/>
  <c r="P144" i="16"/>
  <c r="T144" i="16"/>
  <c r="X144" i="16"/>
  <c r="AB144" i="16"/>
  <c r="G145" i="16"/>
  <c r="K145" i="16"/>
  <c r="O145" i="16"/>
  <c r="S145" i="16"/>
  <c r="W145" i="16"/>
  <c r="AA145" i="16"/>
  <c r="AE145" i="16"/>
  <c r="J146" i="16"/>
  <c r="N146" i="16"/>
  <c r="R146" i="16"/>
  <c r="V146" i="16"/>
  <c r="Z146" i="16"/>
  <c r="AD146" i="16"/>
  <c r="I147" i="16"/>
  <c r="M147" i="16"/>
  <c r="Q147" i="16"/>
  <c r="U147" i="16"/>
  <c r="Y147" i="16"/>
  <c r="AC147" i="16"/>
  <c r="H148" i="16"/>
  <c r="L148" i="16"/>
  <c r="P148" i="16"/>
  <c r="T148" i="16"/>
  <c r="X148" i="16"/>
  <c r="AB148" i="16"/>
  <c r="G149" i="16"/>
  <c r="K149" i="16"/>
  <c r="O149" i="16"/>
  <c r="S149" i="16"/>
  <c r="W149" i="16"/>
  <c r="AA149" i="16"/>
  <c r="AE149" i="16"/>
  <c r="J150" i="16"/>
  <c r="S109" i="16"/>
  <c r="W109" i="16"/>
  <c r="AA109" i="16"/>
  <c r="AE109" i="16"/>
  <c r="J110" i="16"/>
  <c r="N110" i="16"/>
  <c r="R110" i="16"/>
  <c r="V110" i="16"/>
  <c r="Z110" i="16"/>
  <c r="AD110" i="16"/>
  <c r="I111" i="16"/>
  <c r="M111" i="16"/>
  <c r="Q111" i="16"/>
  <c r="U111" i="16"/>
  <c r="Y111" i="16"/>
  <c r="AC111" i="16"/>
  <c r="H112" i="16"/>
  <c r="L112" i="16"/>
  <c r="P112" i="16"/>
  <c r="T112" i="16"/>
  <c r="X112" i="16"/>
  <c r="AB112" i="16"/>
  <c r="G113" i="16"/>
  <c r="K113" i="16"/>
  <c r="O113" i="16"/>
  <c r="S113" i="16"/>
  <c r="W113" i="16"/>
  <c r="AA113" i="16"/>
  <c r="AE113" i="16"/>
  <c r="J114" i="16"/>
  <c r="N114" i="16"/>
  <c r="R114" i="16"/>
  <c r="V114" i="16"/>
  <c r="Z114" i="16"/>
  <c r="AD114" i="16"/>
  <c r="I115" i="16"/>
  <c r="M115" i="16"/>
  <c r="Q115" i="16"/>
  <c r="U115" i="16"/>
  <c r="Y115" i="16"/>
  <c r="AC115" i="16"/>
  <c r="H116" i="16"/>
  <c r="L116" i="16"/>
  <c r="P116" i="16"/>
  <c r="T116" i="16"/>
  <c r="X116" i="16"/>
  <c r="AB116" i="16"/>
  <c r="G117" i="16"/>
  <c r="K117" i="16"/>
  <c r="O117" i="16"/>
  <c r="S117" i="16"/>
  <c r="W117" i="16"/>
  <c r="AA117" i="16"/>
  <c r="AE117" i="16"/>
  <c r="J118" i="16"/>
  <c r="N118" i="16"/>
  <c r="R118" i="16"/>
  <c r="V118" i="16"/>
  <c r="Z118" i="16"/>
  <c r="AD118" i="16"/>
  <c r="I119" i="16"/>
  <c r="M119" i="16"/>
  <c r="Q119" i="16"/>
  <c r="U119" i="16"/>
  <c r="Y119" i="16"/>
  <c r="AC119" i="16"/>
  <c r="H120" i="16"/>
  <c r="L120" i="16"/>
  <c r="P120" i="16"/>
  <c r="T120" i="16"/>
  <c r="X120" i="16"/>
  <c r="AB120" i="16"/>
  <c r="G121" i="16"/>
  <c r="K121" i="16"/>
  <c r="O121" i="16"/>
  <c r="S121" i="16"/>
  <c r="W121" i="16"/>
  <c r="AA121" i="16"/>
  <c r="AE121" i="16"/>
  <c r="J122" i="16"/>
  <c r="N122" i="16"/>
  <c r="R122" i="16"/>
  <c r="V122" i="16"/>
  <c r="Z122" i="16"/>
  <c r="AD122" i="16"/>
  <c r="I123" i="16"/>
  <c r="M123" i="16"/>
  <c r="Q123" i="16"/>
  <c r="U123" i="16"/>
  <c r="Y123" i="16"/>
  <c r="AC123" i="16"/>
  <c r="H124" i="16"/>
  <c r="L124" i="16"/>
  <c r="P124" i="16"/>
  <c r="T124" i="16"/>
  <c r="X124" i="16"/>
  <c r="AB124" i="16"/>
  <c r="G125" i="16"/>
  <c r="K125" i="16"/>
  <c r="O125" i="16"/>
  <c r="S125" i="16"/>
  <c r="W125" i="16"/>
  <c r="AA125" i="16"/>
  <c r="AE125" i="16"/>
  <c r="J126" i="16"/>
  <c r="N126" i="16"/>
  <c r="R126" i="16"/>
  <c r="V126" i="16"/>
  <c r="Z126" i="16"/>
  <c r="AD126" i="16"/>
  <c r="I127" i="16"/>
  <c r="M127" i="16"/>
  <c r="Q127" i="16"/>
  <c r="U127" i="16"/>
  <c r="Y127" i="16"/>
  <c r="AC127" i="16"/>
  <c r="H128" i="16"/>
  <c r="L128" i="16"/>
  <c r="P128" i="16"/>
  <c r="T128" i="16"/>
  <c r="X128" i="16"/>
  <c r="AB128" i="16"/>
  <c r="G129" i="16"/>
  <c r="K129" i="16"/>
  <c r="O129" i="16"/>
  <c r="S129" i="16"/>
  <c r="W129" i="16"/>
  <c r="AA129" i="16"/>
  <c r="AE129" i="16"/>
  <c r="J130" i="16"/>
  <c r="N130" i="16"/>
  <c r="R130" i="16"/>
  <c r="V130" i="16"/>
  <c r="Z130" i="16"/>
  <c r="AD130" i="16"/>
  <c r="I131" i="16"/>
  <c r="M131" i="16"/>
  <c r="Q131" i="16"/>
  <c r="U131" i="16"/>
  <c r="Y131" i="16"/>
  <c r="AC131" i="16"/>
  <c r="H132" i="16"/>
  <c r="L132" i="16"/>
  <c r="P132" i="16"/>
  <c r="T132" i="16"/>
  <c r="X132" i="16"/>
  <c r="AB132" i="16"/>
  <c r="G133" i="16"/>
  <c r="K133" i="16"/>
  <c r="O133" i="16"/>
  <c r="S133" i="16"/>
  <c r="W133" i="16"/>
  <c r="L91" i="16"/>
  <c r="T91" i="16"/>
  <c r="AB91" i="16"/>
  <c r="K92" i="16"/>
  <c r="S92" i="16"/>
  <c r="AA92" i="16"/>
  <c r="J93" i="16"/>
  <c r="R93" i="16"/>
  <c r="Z93" i="16"/>
  <c r="I94" i="16"/>
  <c r="Q94" i="16"/>
  <c r="Y94" i="16"/>
  <c r="AC94" i="16"/>
  <c r="H95" i="16"/>
  <c r="L95" i="16"/>
  <c r="P95" i="16"/>
  <c r="T95" i="16"/>
  <c r="X95" i="16"/>
  <c r="AB95" i="16"/>
  <c r="G96" i="16"/>
  <c r="K96" i="16"/>
  <c r="O96" i="16"/>
  <c r="S96" i="16"/>
  <c r="W96" i="16"/>
  <c r="AA96" i="16"/>
  <c r="AE96" i="16"/>
  <c r="J97" i="16"/>
  <c r="N97" i="16"/>
  <c r="R97" i="16"/>
  <c r="V97" i="16"/>
  <c r="Z97" i="16"/>
  <c r="AD97" i="16"/>
  <c r="I98" i="16"/>
  <c r="M98" i="16"/>
  <c r="Q98" i="16"/>
  <c r="U98" i="16"/>
  <c r="Y98" i="16"/>
  <c r="AC98" i="16"/>
  <c r="H99" i="16"/>
  <c r="L99" i="16"/>
  <c r="P99" i="16"/>
  <c r="T99" i="16"/>
  <c r="X99" i="16"/>
  <c r="AB99" i="16"/>
  <c r="G100" i="16"/>
  <c r="K100" i="16"/>
  <c r="O100" i="16"/>
  <c r="S100" i="16"/>
  <c r="W100" i="16"/>
  <c r="AA100" i="16"/>
  <c r="AE100" i="16"/>
  <c r="J101" i="16"/>
  <c r="N101" i="16"/>
  <c r="R101" i="16"/>
  <c r="V101" i="16"/>
  <c r="Z101" i="16"/>
  <c r="AD101" i="16"/>
  <c r="I102" i="16"/>
  <c r="M102" i="16"/>
  <c r="Q102" i="16"/>
  <c r="U102" i="16"/>
  <c r="Y102" i="16"/>
  <c r="AC102" i="16"/>
  <c r="H103" i="16"/>
  <c r="L103" i="16"/>
  <c r="P103" i="16"/>
  <c r="T103" i="16"/>
  <c r="X103" i="16"/>
  <c r="AB103" i="16"/>
  <c r="G104" i="16"/>
  <c r="K104" i="16"/>
  <c r="O104" i="16"/>
  <c r="S104" i="16"/>
  <c r="W104" i="16"/>
  <c r="AA104" i="16"/>
  <c r="AE104" i="16"/>
  <c r="J105" i="16"/>
  <c r="N105" i="16"/>
  <c r="R105" i="16"/>
  <c r="V105" i="16"/>
  <c r="Z105" i="16"/>
  <c r="AD105" i="16"/>
  <c r="I106" i="16"/>
  <c r="M106" i="16"/>
  <c r="Q106" i="16"/>
  <c r="U106" i="16"/>
  <c r="Y106" i="16"/>
  <c r="AC106" i="16"/>
  <c r="H107" i="16"/>
  <c r="L107" i="16"/>
  <c r="P107" i="16"/>
  <c r="T107" i="16"/>
  <c r="X107" i="16"/>
  <c r="AB107" i="16"/>
  <c r="G108" i="16"/>
  <c r="K108" i="16"/>
  <c r="O108" i="16"/>
  <c r="S108" i="16"/>
  <c r="W108" i="16"/>
  <c r="AA108" i="16"/>
  <c r="AE108" i="16"/>
  <c r="J109" i="16"/>
  <c r="N109" i="16"/>
  <c r="R109" i="16"/>
  <c r="V109" i="16"/>
  <c r="Z109" i="16"/>
  <c r="AD109" i="16"/>
  <c r="I110" i="16"/>
  <c r="M110" i="16"/>
  <c r="Q110" i="16"/>
  <c r="U110" i="16"/>
  <c r="Y110" i="16"/>
  <c r="AC110" i="16"/>
  <c r="H111" i="16"/>
  <c r="L111" i="16"/>
  <c r="P111" i="16"/>
  <c r="T111" i="16"/>
  <c r="X111" i="16"/>
  <c r="AB111" i="16"/>
  <c r="G112" i="16"/>
  <c r="K112" i="16"/>
  <c r="O112" i="16"/>
  <c r="S112" i="16"/>
  <c r="W112" i="16"/>
  <c r="AA112" i="16"/>
  <c r="AE112" i="16"/>
  <c r="J113" i="16"/>
  <c r="N113" i="16"/>
  <c r="R113" i="16"/>
  <c r="V113" i="16"/>
  <c r="Z113" i="16"/>
  <c r="AD113" i="16"/>
  <c r="I114" i="16"/>
  <c r="M114" i="16"/>
  <c r="Q114" i="16"/>
  <c r="U114" i="16"/>
  <c r="Y114" i="16"/>
  <c r="AC114" i="16"/>
  <c r="H115" i="16"/>
  <c r="L115" i="16"/>
  <c r="P115" i="16"/>
  <c r="T115" i="16"/>
  <c r="X115" i="16"/>
  <c r="AB115" i="16"/>
  <c r="G116" i="16"/>
  <c r="K116" i="16"/>
  <c r="O116" i="16"/>
  <c r="S116" i="16"/>
  <c r="W116" i="16"/>
  <c r="AA116" i="16"/>
  <c r="AE116" i="16"/>
  <c r="J117" i="16"/>
  <c r="N117" i="16"/>
  <c r="R117" i="16"/>
  <c r="V117" i="16"/>
  <c r="Z117" i="16"/>
  <c r="AD117" i="16"/>
  <c r="I118" i="16"/>
  <c r="M118" i="16"/>
  <c r="Q118" i="16"/>
  <c r="U118" i="16"/>
  <c r="Y118" i="16"/>
  <c r="AC118" i="16"/>
  <c r="H119" i="16"/>
  <c r="L119" i="16"/>
  <c r="P119" i="16"/>
  <c r="T119" i="16"/>
  <c r="X119" i="16"/>
  <c r="AB119" i="16"/>
  <c r="G120" i="16"/>
  <c r="K120" i="16"/>
  <c r="O120" i="16"/>
  <c r="S120" i="16"/>
  <c r="W120" i="16"/>
  <c r="AA120" i="16"/>
  <c r="AE120" i="16"/>
  <c r="J121" i="16"/>
  <c r="N121" i="16"/>
  <c r="R121" i="16"/>
  <c r="V121" i="16"/>
  <c r="Z121" i="16"/>
  <c r="AD121" i="16"/>
  <c r="I122" i="16"/>
  <c r="M122" i="16"/>
  <c r="Q122" i="16"/>
  <c r="U122" i="16"/>
  <c r="Y122" i="16"/>
  <c r="AC122" i="16"/>
  <c r="H123" i="16"/>
  <c r="L123" i="16"/>
  <c r="P123" i="16"/>
  <c r="T123" i="16"/>
  <c r="X123" i="16"/>
  <c r="AB123" i="16"/>
  <c r="G124" i="16"/>
  <c r="K124" i="16"/>
  <c r="O124" i="16"/>
  <c r="S124" i="16"/>
  <c r="W124" i="16"/>
  <c r="AA124" i="16"/>
  <c r="AE124" i="16"/>
  <c r="J125" i="16"/>
  <c r="N125" i="16"/>
  <c r="R125" i="16"/>
  <c r="V125" i="16"/>
  <c r="Z125" i="16"/>
  <c r="AD125" i="16"/>
  <c r="I126" i="16"/>
  <c r="M126" i="16"/>
  <c r="Q126" i="16"/>
  <c r="U126" i="16"/>
  <c r="Y126" i="16"/>
  <c r="AC126" i="16"/>
  <c r="H127" i="16"/>
  <c r="L127" i="16"/>
  <c r="P127" i="16"/>
  <c r="T127" i="16"/>
  <c r="X127" i="16"/>
  <c r="AB127" i="16"/>
  <c r="G128" i="16"/>
  <c r="K128" i="16"/>
  <c r="O128" i="16"/>
  <c r="S128" i="16"/>
  <c r="W128" i="16"/>
  <c r="AA128" i="16"/>
  <c r="AE128" i="16"/>
  <c r="J129" i="16"/>
  <c r="N129" i="16"/>
  <c r="R129" i="16"/>
  <c r="V129" i="16"/>
  <c r="Z129" i="16"/>
  <c r="AD129" i="16"/>
  <c r="I130" i="16"/>
  <c r="M130" i="16"/>
  <c r="Q130" i="16"/>
  <c r="U130" i="16"/>
  <c r="Y130" i="16"/>
  <c r="AC130" i="16"/>
  <c r="H131" i="16"/>
  <c r="L131" i="16"/>
  <c r="P131" i="16"/>
  <c r="T131" i="16"/>
  <c r="X131" i="16"/>
  <c r="AB131" i="16"/>
  <c r="G132" i="16"/>
  <c r="K132" i="16"/>
  <c r="O132" i="16"/>
  <c r="S132" i="16"/>
  <c r="W132" i="16"/>
  <c r="AA132" i="16"/>
  <c r="AE132" i="16"/>
  <c r="J133" i="16"/>
  <c r="N133" i="16"/>
  <c r="R133" i="16"/>
  <c r="V133" i="16"/>
  <c r="Y133" i="16"/>
  <c r="AC133" i="16"/>
  <c r="H134" i="16"/>
  <c r="L134" i="16"/>
  <c r="P134" i="16"/>
  <c r="T134" i="16"/>
  <c r="X134" i="16"/>
  <c r="AB134" i="16"/>
  <c r="G135" i="16"/>
  <c r="K135" i="16"/>
  <c r="O135" i="16"/>
  <c r="S135" i="16"/>
  <c r="W135" i="16"/>
  <c r="AA135" i="16"/>
  <c r="AE135" i="16"/>
  <c r="J136" i="16"/>
  <c r="N136" i="16"/>
  <c r="R136" i="16"/>
  <c r="V136" i="16"/>
  <c r="Z136" i="16"/>
  <c r="AD136" i="16"/>
  <c r="I137" i="16"/>
  <c r="M137" i="16"/>
  <c r="Q137" i="16"/>
  <c r="U137" i="16"/>
  <c r="Y137" i="16"/>
  <c r="AC137" i="16"/>
  <c r="H138" i="16"/>
  <c r="L138" i="16"/>
  <c r="P138" i="16"/>
  <c r="T138" i="16"/>
  <c r="X138" i="16"/>
  <c r="AB138" i="16"/>
  <c r="G139" i="16"/>
  <c r="K139" i="16"/>
  <c r="O139" i="16"/>
  <c r="S139" i="16"/>
  <c r="W139" i="16"/>
  <c r="AA139" i="16"/>
  <c r="AE139" i="16"/>
  <c r="J140" i="16"/>
  <c r="N140" i="16"/>
  <c r="R140" i="16"/>
  <c r="V140" i="16"/>
  <c r="Z140" i="16"/>
  <c r="AD140" i="16"/>
  <c r="I141" i="16"/>
  <c r="M141" i="16"/>
  <c r="Q141" i="16"/>
  <c r="U141" i="16"/>
  <c r="Y141" i="16"/>
  <c r="AC141" i="16"/>
  <c r="H142" i="16"/>
  <c r="L142" i="16"/>
  <c r="P142" i="16"/>
  <c r="T142" i="16"/>
  <c r="X142" i="16"/>
  <c r="AB142" i="16"/>
  <c r="G143" i="16"/>
  <c r="K143" i="16"/>
  <c r="O143" i="16"/>
  <c r="S143" i="16"/>
  <c r="W143" i="16"/>
  <c r="AA143" i="16"/>
  <c r="AE143" i="16"/>
  <c r="J144" i="16"/>
  <c r="N144" i="16"/>
  <c r="R144" i="16"/>
  <c r="V144" i="16"/>
  <c r="Z144" i="16"/>
  <c r="AD144" i="16"/>
  <c r="I145" i="16"/>
  <c r="M145" i="16"/>
  <c r="Q145" i="16"/>
  <c r="U145" i="16"/>
  <c r="Y145" i="16"/>
  <c r="AC145" i="16"/>
  <c r="H146" i="16"/>
  <c r="L146" i="16"/>
  <c r="P146" i="16"/>
  <c r="T146" i="16"/>
  <c r="X146" i="16"/>
  <c r="AB146" i="16"/>
  <c r="G147" i="16"/>
  <c r="K147" i="16"/>
  <c r="O147" i="16"/>
  <c r="S147" i="16"/>
  <c r="W147" i="16"/>
  <c r="AA147" i="16"/>
  <c r="AE147" i="16"/>
  <c r="J148" i="16"/>
  <c r="N148" i="16"/>
  <c r="R148" i="16"/>
  <c r="V148" i="16"/>
  <c r="Z148" i="16"/>
  <c r="AD148" i="16"/>
  <c r="I149" i="16"/>
  <c r="M149" i="16"/>
  <c r="Q149" i="16"/>
  <c r="U149" i="16"/>
  <c r="Y149" i="16"/>
  <c r="AC149" i="16"/>
  <c r="H150" i="16"/>
  <c r="L150" i="16"/>
  <c r="N150" i="16"/>
  <c r="R150" i="16"/>
  <c r="V150" i="16"/>
  <c r="Z150" i="16"/>
  <c r="AD150" i="16"/>
  <c r="I151" i="16"/>
  <c r="M151" i="16"/>
  <c r="Q151" i="16"/>
  <c r="U151" i="16"/>
  <c r="Y151" i="16"/>
  <c r="AC151" i="16"/>
  <c r="H152" i="16"/>
  <c r="L152" i="16"/>
  <c r="P152" i="16"/>
  <c r="T152" i="16"/>
  <c r="X152" i="16"/>
  <c r="AB152" i="16"/>
  <c r="G153" i="16"/>
  <c r="K153" i="16"/>
  <c r="O153" i="16"/>
  <c r="S153" i="16"/>
  <c r="W153" i="16"/>
  <c r="AA153" i="16"/>
  <c r="AE153" i="16"/>
  <c r="J154" i="16"/>
  <c r="N154" i="16"/>
  <c r="R154" i="16"/>
  <c r="V154" i="16"/>
  <c r="Z154" i="16"/>
  <c r="AD154" i="16"/>
  <c r="I155" i="16"/>
  <c r="M155" i="16"/>
  <c r="Q155" i="16"/>
  <c r="U155" i="16"/>
  <c r="Y155" i="16"/>
  <c r="AC155" i="16"/>
  <c r="H156" i="16"/>
  <c r="L156" i="16"/>
  <c r="P156" i="16"/>
  <c r="T156" i="16"/>
  <c r="X156" i="16"/>
  <c r="AB156" i="16"/>
  <c r="G157" i="16"/>
  <c r="K157" i="16"/>
  <c r="O157" i="16"/>
  <c r="S157" i="16"/>
  <c r="W157" i="16"/>
  <c r="AA157" i="16"/>
  <c r="AE157" i="16"/>
  <c r="J158" i="16"/>
  <c r="N158" i="16"/>
  <c r="R158" i="16"/>
  <c r="V158" i="16"/>
  <c r="Z158" i="16"/>
  <c r="AD158" i="16"/>
  <c r="I159" i="16"/>
  <c r="M159" i="16"/>
  <c r="Q159" i="16"/>
  <c r="U159" i="16"/>
  <c r="Y159" i="16"/>
  <c r="AC159" i="16"/>
  <c r="H160" i="16"/>
  <c r="L160" i="16"/>
  <c r="P160" i="16"/>
  <c r="T160" i="16"/>
  <c r="X160" i="16"/>
  <c r="AB160" i="16"/>
  <c r="G161" i="16"/>
  <c r="K161" i="16"/>
  <c r="O161" i="16"/>
  <c r="S161" i="16"/>
  <c r="W161" i="16"/>
  <c r="AA161" i="16"/>
  <c r="AE161" i="16"/>
  <c r="J162" i="16"/>
  <c r="N162" i="16"/>
  <c r="R162" i="16"/>
  <c r="V162" i="16"/>
  <c r="Z162" i="16"/>
  <c r="AD162" i="16"/>
  <c r="I163" i="16"/>
  <c r="M163" i="16"/>
  <c r="Q163" i="16"/>
  <c r="U163" i="16"/>
  <c r="Y163" i="16"/>
  <c r="AC163" i="16"/>
  <c r="H164" i="16"/>
  <c r="L164" i="16"/>
  <c r="P164" i="16"/>
  <c r="T164" i="16"/>
  <c r="X164" i="16"/>
  <c r="AB164" i="16"/>
  <c r="G165" i="16"/>
  <c r="K165" i="16"/>
  <c r="O165" i="16"/>
  <c r="S165" i="16"/>
  <c r="W165" i="16"/>
  <c r="AA165" i="16"/>
  <c r="AE165" i="16"/>
  <c r="J166" i="16"/>
  <c r="N166" i="16"/>
  <c r="R166" i="16"/>
  <c r="V166" i="16"/>
  <c r="Z166" i="16"/>
  <c r="AD166" i="16"/>
  <c r="I167" i="16"/>
  <c r="M167" i="16"/>
  <c r="Q167" i="16"/>
  <c r="U167" i="16"/>
  <c r="Y167" i="16"/>
  <c r="AC167" i="16"/>
  <c r="H168" i="16"/>
  <c r="L168" i="16"/>
  <c r="P168" i="16"/>
  <c r="T168" i="16"/>
  <c r="X168" i="16"/>
  <c r="AB168" i="16"/>
  <c r="G169" i="16"/>
  <c r="K169" i="16"/>
  <c r="O169" i="16"/>
  <c r="S169" i="16"/>
  <c r="W169" i="16"/>
  <c r="AA169" i="16"/>
  <c r="AE169" i="16"/>
  <c r="J170" i="16"/>
  <c r="N170" i="16"/>
  <c r="R170" i="16"/>
  <c r="V170" i="16"/>
  <c r="Z170" i="16"/>
  <c r="AD170" i="16"/>
  <c r="I171" i="16"/>
  <c r="M171" i="16"/>
  <c r="Q171" i="16"/>
  <c r="U171" i="16"/>
  <c r="Y171" i="16"/>
  <c r="AC171" i="16"/>
  <c r="H172" i="16"/>
  <c r="L172" i="16"/>
  <c r="P172" i="16"/>
  <c r="T172" i="16"/>
  <c r="X172" i="16"/>
  <c r="AB172" i="16"/>
  <c r="G173" i="16"/>
  <c r="K173" i="16"/>
  <c r="O173" i="16"/>
  <c r="S173" i="16"/>
  <c r="W173" i="16"/>
  <c r="AA173" i="16"/>
  <c r="AE173" i="16"/>
  <c r="J174" i="16"/>
  <c r="N174" i="16"/>
  <c r="R174" i="16"/>
  <c r="V174" i="16"/>
  <c r="AB133" i="16"/>
  <c r="G134" i="16"/>
  <c r="K134" i="16"/>
  <c r="O134" i="16"/>
  <c r="S134" i="16"/>
  <c r="W134" i="16"/>
  <c r="AA134" i="16"/>
  <c r="AE134" i="16"/>
  <c r="J135" i="16"/>
  <c r="N135" i="16"/>
  <c r="R135" i="16"/>
  <c r="V135" i="16"/>
  <c r="Z135" i="16"/>
  <c r="AD135" i="16"/>
  <c r="I136" i="16"/>
  <c r="M136" i="16"/>
  <c r="Q136" i="16"/>
  <c r="U136" i="16"/>
  <c r="Y136" i="16"/>
  <c r="AC136" i="16"/>
  <c r="H137" i="16"/>
  <c r="L137" i="16"/>
  <c r="P137" i="16"/>
  <c r="T137" i="16"/>
  <c r="X137" i="16"/>
  <c r="AB137" i="16"/>
  <c r="G138" i="16"/>
  <c r="K138" i="16"/>
  <c r="O138" i="16"/>
  <c r="S138" i="16"/>
  <c r="W138" i="16"/>
  <c r="AA138" i="16"/>
  <c r="AE138" i="16"/>
  <c r="J139" i="16"/>
  <c r="N139" i="16"/>
  <c r="R139" i="16"/>
  <c r="V139" i="16"/>
  <c r="Z139" i="16"/>
  <c r="AD139" i="16"/>
  <c r="I140" i="16"/>
  <c r="M140" i="16"/>
  <c r="Q140" i="16"/>
  <c r="U140" i="16"/>
  <c r="Y140" i="16"/>
  <c r="AC140" i="16"/>
  <c r="H141" i="16"/>
  <c r="L141" i="16"/>
  <c r="P141" i="16"/>
  <c r="T141" i="16"/>
  <c r="X141" i="16"/>
  <c r="AB141" i="16"/>
  <c r="G142" i="16"/>
  <c r="K142" i="16"/>
  <c r="O142" i="16"/>
  <c r="S142" i="16"/>
  <c r="W142" i="16"/>
  <c r="AA142" i="16"/>
  <c r="AE142" i="16"/>
  <c r="J143" i="16"/>
  <c r="N143" i="16"/>
  <c r="R143" i="16"/>
  <c r="V143" i="16"/>
  <c r="Z143" i="16"/>
  <c r="AD143" i="16"/>
  <c r="I144" i="16"/>
  <c r="M144" i="16"/>
  <c r="Q144" i="16"/>
  <c r="U144" i="16"/>
  <c r="Y144" i="16"/>
  <c r="AC144" i="16"/>
  <c r="H145" i="16"/>
  <c r="L145" i="16"/>
  <c r="P145" i="16"/>
  <c r="T145" i="16"/>
  <c r="X145" i="16"/>
  <c r="AB145" i="16"/>
  <c r="G146" i="16"/>
  <c r="K146" i="16"/>
  <c r="O146" i="16"/>
  <c r="S146" i="16"/>
  <c r="W146" i="16"/>
  <c r="AA146" i="16"/>
  <c r="AE146" i="16"/>
  <c r="J147" i="16"/>
  <c r="N147" i="16"/>
  <c r="R147" i="16"/>
  <c r="V147" i="16"/>
  <c r="Z147" i="16"/>
  <c r="AD147" i="16"/>
  <c r="I148" i="16"/>
  <c r="M148" i="16"/>
  <c r="Q148" i="16"/>
  <c r="U148" i="16"/>
  <c r="Y148" i="16"/>
  <c r="AC148" i="16"/>
  <c r="H149" i="16"/>
  <c r="L149" i="16"/>
  <c r="P149" i="16"/>
  <c r="T149" i="16"/>
  <c r="X149" i="16"/>
  <c r="AB149" i="16"/>
  <c r="G150" i="16"/>
  <c r="K150" i="16"/>
  <c r="O150" i="16"/>
  <c r="S150" i="16"/>
  <c r="W150" i="16"/>
  <c r="AA150" i="16"/>
  <c r="AE150" i="16"/>
  <c r="J151" i="16"/>
  <c r="N151" i="16"/>
  <c r="R151" i="16"/>
  <c r="V151" i="16"/>
  <c r="Z151" i="16"/>
  <c r="AD151" i="16"/>
  <c r="I152" i="16"/>
  <c r="M152" i="16"/>
  <c r="Q152" i="16"/>
  <c r="U152" i="16"/>
  <c r="Y152" i="16"/>
  <c r="AC152" i="16"/>
  <c r="H153" i="16"/>
  <c r="L153" i="16"/>
  <c r="P153" i="16"/>
  <c r="T153" i="16"/>
  <c r="X153" i="16"/>
  <c r="AB153" i="16"/>
  <c r="G154" i="16"/>
  <c r="K154" i="16"/>
  <c r="O154" i="16"/>
  <c r="S154" i="16"/>
  <c r="W154" i="16"/>
  <c r="AA154" i="16"/>
  <c r="AE154" i="16"/>
  <c r="J155" i="16"/>
  <c r="N155" i="16"/>
  <c r="R155" i="16"/>
  <c r="V155" i="16"/>
  <c r="Z155" i="16"/>
  <c r="AD155" i="16"/>
  <c r="I156" i="16"/>
  <c r="M156" i="16"/>
  <c r="Q156" i="16"/>
  <c r="U156" i="16"/>
  <c r="Y156" i="16"/>
  <c r="AC156" i="16"/>
  <c r="H157" i="16"/>
  <c r="L157" i="16"/>
  <c r="P157" i="16"/>
  <c r="T157" i="16"/>
  <c r="X157" i="16"/>
  <c r="AB157" i="16"/>
  <c r="G158" i="16"/>
  <c r="K158" i="16"/>
  <c r="O158" i="16"/>
  <c r="S158" i="16"/>
  <c r="W158" i="16"/>
  <c r="AA158" i="16"/>
  <c r="AE158" i="16"/>
  <c r="J159" i="16"/>
  <c r="N159" i="16"/>
  <c r="R159" i="16"/>
  <c r="V159" i="16"/>
  <c r="Z159" i="16"/>
  <c r="AD159" i="16"/>
  <c r="I160" i="16"/>
  <c r="M160" i="16"/>
  <c r="Q160" i="16"/>
  <c r="U160" i="16"/>
  <c r="Y160" i="16"/>
  <c r="AC160" i="16"/>
  <c r="H161" i="16"/>
  <c r="L161" i="16"/>
  <c r="P161" i="16"/>
  <c r="T161" i="16"/>
  <c r="X161" i="16"/>
  <c r="AB161" i="16"/>
  <c r="G162" i="16"/>
  <c r="K162" i="16"/>
  <c r="O162" i="16"/>
  <c r="S162" i="16"/>
  <c r="W162" i="16"/>
  <c r="AA162" i="16"/>
  <c r="AE162" i="16"/>
  <c r="J163" i="16"/>
  <c r="N163" i="16"/>
  <c r="R163" i="16"/>
  <c r="V163" i="16"/>
  <c r="Z163" i="16"/>
  <c r="AD163" i="16"/>
  <c r="I164" i="16"/>
  <c r="M164" i="16"/>
  <c r="Q164" i="16"/>
  <c r="U164" i="16"/>
  <c r="Y164" i="16"/>
  <c r="AC164" i="16"/>
  <c r="H165" i="16"/>
  <c r="L165" i="16"/>
  <c r="P165" i="16"/>
  <c r="T165" i="16"/>
  <c r="X165" i="16"/>
  <c r="AB165" i="16"/>
  <c r="G166" i="16"/>
  <c r="K166" i="16"/>
  <c r="O166" i="16"/>
  <c r="S166" i="16"/>
  <c r="W166" i="16"/>
  <c r="AA166" i="16"/>
  <c r="AE166" i="16"/>
  <c r="J167" i="16"/>
  <c r="N167" i="16"/>
  <c r="R167" i="16"/>
  <c r="V167" i="16"/>
  <c r="Z167" i="16"/>
  <c r="AD167" i="16"/>
  <c r="I168" i="16"/>
  <c r="M168" i="16"/>
  <c r="Q168" i="16"/>
  <c r="U168" i="16"/>
  <c r="Y168" i="16"/>
  <c r="AC168" i="16"/>
  <c r="H169" i="16"/>
  <c r="L169" i="16"/>
  <c r="P169" i="16"/>
  <c r="T169" i="16"/>
  <c r="X169" i="16"/>
  <c r="AB169" i="16"/>
  <c r="G170" i="16"/>
  <c r="K170" i="16"/>
  <c r="O170" i="16"/>
  <c r="S170" i="16"/>
  <c r="W170" i="16"/>
  <c r="AA170" i="16"/>
  <c r="AE170" i="16"/>
  <c r="J171" i="16"/>
  <c r="N171" i="16"/>
  <c r="R171" i="16"/>
  <c r="V171" i="16"/>
  <c r="Z171" i="16"/>
  <c r="AD171" i="16"/>
  <c r="I172" i="16"/>
  <c r="M172" i="16"/>
  <c r="Q172" i="16"/>
  <c r="U172" i="16"/>
  <c r="Y172" i="16"/>
  <c r="AC172" i="16"/>
  <c r="H173" i="16"/>
  <c r="L173" i="16"/>
  <c r="P173" i="16"/>
  <c r="T173" i="16"/>
  <c r="X173" i="16"/>
  <c r="AB173" i="16"/>
  <c r="G174" i="16"/>
  <c r="K174" i="16"/>
  <c r="O174" i="16"/>
  <c r="S174" i="16"/>
  <c r="W174" i="16"/>
  <c r="AA174" i="16"/>
  <c r="AE174" i="16"/>
  <c r="J175" i="16"/>
  <c r="N175" i="16"/>
  <c r="R175" i="16"/>
  <c r="V175" i="16"/>
  <c r="Z175" i="16"/>
  <c r="AD175" i="16"/>
  <c r="I176" i="16"/>
  <c r="M176" i="16"/>
  <c r="Q176" i="16"/>
  <c r="U176" i="16"/>
  <c r="Y176" i="16"/>
  <c r="AC176" i="16"/>
  <c r="H177" i="16"/>
  <c r="L177" i="16"/>
  <c r="P177" i="16"/>
  <c r="T177" i="16"/>
  <c r="X177" i="16"/>
  <c r="AB177" i="16"/>
  <c r="G178" i="16"/>
  <c r="K178" i="16"/>
  <c r="O178" i="16"/>
  <c r="S178" i="16"/>
  <c r="W178" i="16"/>
  <c r="AA178" i="16"/>
  <c r="AE178" i="16"/>
  <c r="J179" i="16"/>
  <c r="N179" i="16"/>
  <c r="R179" i="16"/>
  <c r="V179" i="16"/>
  <c r="Z179" i="16"/>
  <c r="AD179" i="16"/>
  <c r="I180" i="16"/>
  <c r="M180" i="16"/>
  <c r="Q180" i="16"/>
  <c r="U180" i="16"/>
  <c r="Y180" i="16"/>
  <c r="AC180" i="16"/>
  <c r="H181" i="16"/>
  <c r="L181" i="16"/>
  <c r="P181" i="16"/>
  <c r="T181" i="16"/>
  <c r="X181" i="16"/>
  <c r="AB181" i="16"/>
  <c r="G182" i="16"/>
  <c r="K182" i="16"/>
  <c r="O182" i="16"/>
  <c r="S182" i="16"/>
  <c r="W182" i="16"/>
  <c r="AA182" i="16"/>
  <c r="AE182" i="16"/>
  <c r="J183" i="16"/>
  <c r="N183" i="16"/>
  <c r="R183" i="16"/>
  <c r="V183" i="16"/>
  <c r="Z183" i="16"/>
  <c r="AD183" i="16"/>
  <c r="I184" i="16"/>
  <c r="M184" i="16"/>
  <c r="Q184" i="16"/>
  <c r="U184" i="16"/>
  <c r="Y184" i="16"/>
  <c r="AC184" i="16"/>
  <c r="H185" i="16"/>
  <c r="L185" i="16"/>
  <c r="P185" i="16"/>
  <c r="T185" i="16"/>
  <c r="X185" i="16"/>
  <c r="AB185" i="16"/>
  <c r="G186" i="16"/>
  <c r="K186" i="16"/>
  <c r="O186" i="16"/>
  <c r="S186" i="16"/>
  <c r="W186" i="16"/>
  <c r="AA186" i="16"/>
  <c r="AE186" i="16"/>
  <c r="J187" i="16"/>
  <c r="N187" i="16"/>
  <c r="R187" i="16"/>
  <c r="V187" i="16"/>
  <c r="Z187" i="16"/>
  <c r="AD187" i="16"/>
  <c r="I188" i="16"/>
  <c r="M188" i="16"/>
  <c r="Q188" i="16"/>
  <c r="U188" i="16"/>
  <c r="Y188" i="16"/>
  <c r="AC188" i="16"/>
  <c r="H189" i="16"/>
  <c r="L189" i="16"/>
  <c r="P189" i="16"/>
  <c r="T189" i="16"/>
  <c r="X189" i="16"/>
  <c r="AB189" i="16"/>
  <c r="G190" i="16"/>
  <c r="K190" i="16"/>
  <c r="O190" i="16"/>
  <c r="S190" i="16"/>
  <c r="W190" i="16"/>
  <c r="AA190" i="16"/>
  <c r="AE190" i="16"/>
  <c r="P150" i="16"/>
  <c r="T150" i="16"/>
  <c r="X150" i="16"/>
  <c r="AB150" i="16"/>
  <c r="G151" i="16"/>
  <c r="K151" i="16"/>
  <c r="O151" i="16"/>
  <c r="S151" i="16"/>
  <c r="W151" i="16"/>
  <c r="AA151" i="16"/>
  <c r="AE151" i="16"/>
  <c r="J152" i="16"/>
  <c r="N152" i="16"/>
  <c r="R152" i="16"/>
  <c r="V152" i="16"/>
  <c r="Z152" i="16"/>
  <c r="AD152" i="16"/>
  <c r="I153" i="16"/>
  <c r="M153" i="16"/>
  <c r="Q153" i="16"/>
  <c r="U153" i="16"/>
  <c r="Y153" i="16"/>
  <c r="AC153" i="16"/>
  <c r="H154" i="16"/>
  <c r="L154" i="16"/>
  <c r="P154" i="16"/>
  <c r="T154" i="16"/>
  <c r="X154" i="16"/>
  <c r="AB154" i="16"/>
  <c r="G155" i="16"/>
  <c r="K155" i="16"/>
  <c r="O155" i="16"/>
  <c r="S155" i="16"/>
  <c r="W155" i="16"/>
  <c r="AA155" i="16"/>
  <c r="AE155" i="16"/>
  <c r="J156" i="16"/>
  <c r="N156" i="16"/>
  <c r="R156" i="16"/>
  <c r="V156" i="16"/>
  <c r="Z156" i="16"/>
  <c r="AD156" i="16"/>
  <c r="I157" i="16"/>
  <c r="M157" i="16"/>
  <c r="Q157" i="16"/>
  <c r="U157" i="16"/>
  <c r="Y157" i="16"/>
  <c r="AC157" i="16"/>
  <c r="H158" i="16"/>
  <c r="L158" i="16"/>
  <c r="P158" i="16"/>
  <c r="T158" i="16"/>
  <c r="X158" i="16"/>
  <c r="AB158" i="16"/>
  <c r="G159" i="16"/>
  <c r="K159" i="16"/>
  <c r="O159" i="16"/>
  <c r="S159" i="16"/>
  <c r="W159" i="16"/>
  <c r="AA159" i="16"/>
  <c r="AE159" i="16"/>
  <c r="J160" i="16"/>
  <c r="N160" i="16"/>
  <c r="R160" i="16"/>
  <c r="V160" i="16"/>
  <c r="Z160" i="16"/>
  <c r="AD160" i="16"/>
  <c r="I161" i="16"/>
  <c r="M161" i="16"/>
  <c r="Q161" i="16"/>
  <c r="U161" i="16"/>
  <c r="Y161" i="16"/>
  <c r="AC161" i="16"/>
  <c r="H162" i="16"/>
  <c r="L162" i="16"/>
  <c r="P162" i="16"/>
  <c r="T162" i="16"/>
  <c r="X162" i="16"/>
  <c r="AB162" i="16"/>
  <c r="G163" i="16"/>
  <c r="K163" i="16"/>
  <c r="O163" i="16"/>
  <c r="S163" i="16"/>
  <c r="W163" i="16"/>
  <c r="AA163" i="16"/>
  <c r="AE163" i="16"/>
  <c r="J164" i="16"/>
  <c r="N164" i="16"/>
  <c r="R164" i="16"/>
  <c r="V164" i="16"/>
  <c r="Z164" i="16"/>
  <c r="AD164" i="16"/>
  <c r="I165" i="16"/>
  <c r="M165" i="16"/>
  <c r="Q165" i="16"/>
  <c r="U165" i="16"/>
  <c r="Y165" i="16"/>
  <c r="AC165" i="16"/>
  <c r="H166" i="16"/>
  <c r="L166" i="16"/>
  <c r="P166" i="16"/>
  <c r="T166" i="16"/>
  <c r="X166" i="16"/>
  <c r="AB166" i="16"/>
  <c r="G167" i="16"/>
  <c r="K167" i="16"/>
  <c r="O167" i="16"/>
  <c r="S167" i="16"/>
  <c r="W167" i="16"/>
  <c r="AA167" i="16"/>
  <c r="AE167" i="16"/>
  <c r="J168" i="16"/>
  <c r="N168" i="16"/>
  <c r="R168" i="16"/>
  <c r="V168" i="16"/>
  <c r="Z168" i="16"/>
  <c r="AD168" i="16"/>
  <c r="I169" i="16"/>
  <c r="M169" i="16"/>
  <c r="Q169" i="16"/>
  <c r="U169" i="16"/>
  <c r="Y169" i="16"/>
  <c r="AC169" i="16"/>
  <c r="H170" i="16"/>
  <c r="L170" i="16"/>
  <c r="P170" i="16"/>
  <c r="T170" i="16"/>
  <c r="X170" i="16"/>
  <c r="AB170" i="16"/>
  <c r="G171" i="16"/>
  <c r="K171" i="16"/>
  <c r="O171" i="16"/>
  <c r="S171" i="16"/>
  <c r="W171" i="16"/>
  <c r="AA171" i="16"/>
  <c r="AE171" i="16"/>
  <c r="J172" i="16"/>
  <c r="N172" i="16"/>
  <c r="R172" i="16"/>
  <c r="V172" i="16"/>
  <c r="Z172" i="16"/>
  <c r="AD172" i="16"/>
  <c r="I173" i="16"/>
  <c r="M173" i="16"/>
  <c r="Q173" i="16"/>
  <c r="U173" i="16"/>
  <c r="Y173" i="16"/>
  <c r="AC173" i="16"/>
  <c r="H174" i="16"/>
  <c r="L174" i="16"/>
  <c r="P174" i="16"/>
  <c r="T174" i="16"/>
  <c r="Z133" i="16"/>
  <c r="AD133" i="16"/>
  <c r="I134" i="16"/>
  <c r="M134" i="16"/>
  <c r="Q134" i="16"/>
  <c r="U134" i="16"/>
  <c r="Y134" i="16"/>
  <c r="AC134" i="16"/>
  <c r="H135" i="16"/>
  <c r="L135" i="16"/>
  <c r="P135" i="16"/>
  <c r="T135" i="16"/>
  <c r="X135" i="16"/>
  <c r="AB135" i="16"/>
  <c r="G136" i="16"/>
  <c r="K136" i="16"/>
  <c r="O136" i="16"/>
  <c r="S136" i="16"/>
  <c r="W136" i="16"/>
  <c r="AA136" i="16"/>
  <c r="AE136" i="16"/>
  <c r="J137" i="16"/>
  <c r="N137" i="16"/>
  <c r="R137" i="16"/>
  <c r="V137" i="16"/>
  <c r="Z137" i="16"/>
  <c r="AD137" i="16"/>
  <c r="I138" i="16"/>
  <c r="M138" i="16"/>
  <c r="Q138" i="16"/>
  <c r="U138" i="16"/>
  <c r="Y138" i="16"/>
  <c r="AC138" i="16"/>
  <c r="H139" i="16"/>
  <c r="L139" i="16"/>
  <c r="P139" i="16"/>
  <c r="T139" i="16"/>
  <c r="X139" i="16"/>
  <c r="AB139" i="16"/>
  <c r="G140" i="16"/>
  <c r="K140" i="16"/>
  <c r="O140" i="16"/>
  <c r="S140" i="16"/>
  <c r="W140" i="16"/>
  <c r="AA140" i="16"/>
  <c r="AE140" i="16"/>
  <c r="J141" i="16"/>
  <c r="N141" i="16"/>
  <c r="R141" i="16"/>
  <c r="V141" i="16"/>
  <c r="Z141" i="16"/>
  <c r="AD141" i="16"/>
  <c r="I142" i="16"/>
  <c r="M142" i="16"/>
  <c r="Q142" i="16"/>
  <c r="U142" i="16"/>
  <c r="Y142" i="16"/>
  <c r="AC142" i="16"/>
  <c r="H143" i="16"/>
  <c r="L143" i="16"/>
  <c r="P143" i="16"/>
  <c r="T143" i="16"/>
  <c r="X143" i="16"/>
  <c r="AB143" i="16"/>
  <c r="G144" i="16"/>
  <c r="K144" i="16"/>
  <c r="O144" i="16"/>
  <c r="S144" i="16"/>
  <c r="W144" i="16"/>
  <c r="AA144" i="16"/>
  <c r="AE144" i="16"/>
  <c r="J145" i="16"/>
  <c r="N145" i="16"/>
  <c r="R145" i="16"/>
  <c r="V145" i="16"/>
  <c r="Z145" i="16"/>
  <c r="AD145" i="16"/>
  <c r="I146" i="16"/>
  <c r="M146" i="16"/>
  <c r="Q146" i="16"/>
  <c r="U146" i="16"/>
  <c r="Y146" i="16"/>
  <c r="AC146" i="16"/>
  <c r="H147" i="16"/>
  <c r="L147" i="16"/>
  <c r="P147" i="16"/>
  <c r="T147" i="16"/>
  <c r="X147" i="16"/>
  <c r="AB147" i="16"/>
  <c r="G148" i="16"/>
  <c r="K148" i="16"/>
  <c r="O148" i="16"/>
  <c r="S148" i="16"/>
  <c r="W148" i="16"/>
  <c r="AA148" i="16"/>
  <c r="AE148" i="16"/>
  <c r="J149" i="16"/>
  <c r="N149" i="16"/>
  <c r="R149" i="16"/>
  <c r="V149" i="16"/>
  <c r="Z149" i="16"/>
  <c r="AD149" i="16"/>
  <c r="I150" i="16"/>
  <c r="M150" i="16"/>
  <c r="Q150" i="16"/>
  <c r="U150" i="16"/>
  <c r="Y150" i="16"/>
  <c r="AC150" i="16"/>
  <c r="H151" i="16"/>
  <c r="L151" i="16"/>
  <c r="P151" i="16"/>
  <c r="T151" i="16"/>
  <c r="X151" i="16"/>
  <c r="AB151" i="16"/>
  <c r="G152" i="16"/>
  <c r="K152" i="16"/>
  <c r="O152" i="16"/>
  <c r="S152" i="16"/>
  <c r="W152" i="16"/>
  <c r="AA152" i="16"/>
  <c r="AE152" i="16"/>
  <c r="J153" i="16"/>
  <c r="N153" i="16"/>
  <c r="R153" i="16"/>
  <c r="V153" i="16"/>
  <c r="Z153" i="16"/>
  <c r="AD153" i="16"/>
  <c r="I154" i="16"/>
  <c r="M154" i="16"/>
  <c r="Q154" i="16"/>
  <c r="U154" i="16"/>
  <c r="Y154" i="16"/>
  <c r="AC154" i="16"/>
  <c r="H155" i="16"/>
  <c r="L155" i="16"/>
  <c r="P155" i="16"/>
  <c r="T155" i="16"/>
  <c r="X155" i="16"/>
  <c r="AB155" i="16"/>
  <c r="G156" i="16"/>
  <c r="K156" i="16"/>
  <c r="O156" i="16"/>
  <c r="S156" i="16"/>
  <c r="W156" i="16"/>
  <c r="AA156" i="16"/>
  <c r="AE156" i="16"/>
  <c r="J157" i="16"/>
  <c r="N157" i="16"/>
  <c r="R157" i="16"/>
  <c r="V157" i="16"/>
  <c r="Z157" i="16"/>
  <c r="AD157" i="16"/>
  <c r="I158" i="16"/>
  <c r="M158" i="16"/>
  <c r="Q158" i="16"/>
  <c r="U158" i="16"/>
  <c r="Y158" i="16"/>
  <c r="AC158" i="16"/>
  <c r="H159" i="16"/>
  <c r="L159" i="16"/>
  <c r="P159" i="16"/>
  <c r="T159" i="16"/>
  <c r="X159" i="16"/>
  <c r="AB159" i="16"/>
  <c r="G160" i="16"/>
  <c r="K160" i="16"/>
  <c r="O160" i="16"/>
  <c r="S160" i="16"/>
  <c r="W160" i="16"/>
  <c r="AA160" i="16"/>
  <c r="AE160" i="16"/>
  <c r="J161" i="16"/>
  <c r="N161" i="16"/>
  <c r="R161" i="16"/>
  <c r="V161" i="16"/>
  <c r="Z161" i="16"/>
  <c r="AD161" i="16"/>
  <c r="I162" i="16"/>
  <c r="M162" i="16"/>
  <c r="Q162" i="16"/>
  <c r="U162" i="16"/>
  <c r="Y162" i="16"/>
  <c r="AC162" i="16"/>
  <c r="H163" i="16"/>
  <c r="L163" i="16"/>
  <c r="P163" i="16"/>
  <c r="T163" i="16"/>
  <c r="X163" i="16"/>
  <c r="AB163" i="16"/>
  <c r="G164" i="16"/>
  <c r="K164" i="16"/>
  <c r="O164" i="16"/>
  <c r="S164" i="16"/>
  <c r="W164" i="16"/>
  <c r="AA164" i="16"/>
  <c r="AE164" i="16"/>
  <c r="J165" i="16"/>
  <c r="N165" i="16"/>
  <c r="R165" i="16"/>
  <c r="V165" i="16"/>
  <c r="Z165" i="16"/>
  <c r="AD165" i="16"/>
  <c r="I166" i="16"/>
  <c r="M166" i="16"/>
  <c r="Q166" i="16"/>
  <c r="U166" i="16"/>
  <c r="Y166" i="16"/>
  <c r="AC166" i="16"/>
  <c r="H167" i="16"/>
  <c r="L167" i="16"/>
  <c r="P167" i="16"/>
  <c r="T167" i="16"/>
  <c r="X167" i="16"/>
  <c r="AB167" i="16"/>
  <c r="G168" i="16"/>
  <c r="K168" i="16"/>
  <c r="O168" i="16"/>
  <c r="S168" i="16"/>
  <c r="W168" i="16"/>
  <c r="AA168" i="16"/>
  <c r="AE168" i="16"/>
  <c r="J169" i="16"/>
  <c r="N169" i="16"/>
  <c r="R169" i="16"/>
  <c r="V169" i="16"/>
  <c r="Z169" i="16"/>
  <c r="AD169" i="16"/>
  <c r="I170" i="16"/>
  <c r="M170" i="16"/>
  <c r="Q170" i="16"/>
  <c r="U170" i="16"/>
  <c r="Y170" i="16"/>
  <c r="AC170" i="16"/>
  <c r="H171" i="16"/>
  <c r="L171" i="16"/>
  <c r="P171" i="16"/>
  <c r="T171" i="16"/>
  <c r="X171" i="16"/>
  <c r="AB171" i="16"/>
  <c r="G172" i="16"/>
  <c r="K172" i="16"/>
  <c r="O172" i="16"/>
  <c r="S172" i="16"/>
  <c r="W172" i="16"/>
  <c r="AA172" i="16"/>
  <c r="AE172" i="16"/>
  <c r="J173" i="16"/>
  <c r="N173" i="16"/>
  <c r="R173" i="16"/>
  <c r="V173" i="16"/>
  <c r="Z173" i="16"/>
  <c r="AD173" i="16"/>
  <c r="I174" i="16"/>
  <c r="M174" i="16"/>
  <c r="Q174" i="16"/>
  <c r="U174" i="16"/>
  <c r="Y174" i="16"/>
  <c r="AC174" i="16"/>
  <c r="H175" i="16"/>
  <c r="L175" i="16"/>
  <c r="P175" i="16"/>
  <c r="T175" i="16"/>
  <c r="X175" i="16"/>
  <c r="AB175" i="16"/>
  <c r="G176" i="16"/>
  <c r="K176" i="16"/>
  <c r="O176" i="16"/>
  <c r="S176" i="16"/>
  <c r="W176" i="16"/>
  <c r="AA176" i="16"/>
  <c r="AE176" i="16"/>
  <c r="J177" i="16"/>
  <c r="N177" i="16"/>
  <c r="R177" i="16"/>
  <c r="V177" i="16"/>
  <c r="Z177" i="16"/>
  <c r="AD177" i="16"/>
  <c r="I178" i="16"/>
  <c r="M178" i="16"/>
  <c r="Q178" i="16"/>
  <c r="U178" i="16"/>
  <c r="Y178" i="16"/>
  <c r="AC178" i="16"/>
  <c r="H179" i="16"/>
  <c r="L179" i="16"/>
  <c r="P179" i="16"/>
  <c r="T179" i="16"/>
  <c r="X179" i="16"/>
  <c r="AB179" i="16"/>
  <c r="G180" i="16"/>
  <c r="K180" i="16"/>
  <c r="O180" i="16"/>
  <c r="S180" i="16"/>
  <c r="W180" i="16"/>
  <c r="AA180" i="16"/>
  <c r="AE180" i="16"/>
  <c r="J181" i="16"/>
  <c r="N181" i="16"/>
  <c r="R181" i="16"/>
  <c r="V181" i="16"/>
  <c r="Z181" i="16"/>
  <c r="AD181" i="16"/>
  <c r="I182" i="16"/>
  <c r="M182" i="16"/>
  <c r="Q182" i="16"/>
  <c r="U182" i="16"/>
  <c r="Y182" i="16"/>
  <c r="AC182" i="16"/>
  <c r="H183" i="16"/>
  <c r="L183" i="16"/>
  <c r="P183" i="16"/>
  <c r="T183" i="16"/>
  <c r="X183" i="16"/>
  <c r="AB183" i="16"/>
  <c r="G184" i="16"/>
  <c r="K184" i="16"/>
  <c r="O184" i="16"/>
  <c r="S184" i="16"/>
  <c r="W184" i="16"/>
  <c r="AA184" i="16"/>
  <c r="AE184" i="16"/>
  <c r="J185" i="16"/>
  <c r="N185" i="16"/>
  <c r="R185" i="16"/>
  <c r="V185" i="16"/>
  <c r="Z185" i="16"/>
  <c r="AD185" i="16"/>
  <c r="I186" i="16"/>
  <c r="M186" i="16"/>
  <c r="Q186" i="16"/>
  <c r="U186" i="16"/>
  <c r="Y186" i="16"/>
  <c r="AC186" i="16"/>
  <c r="H187" i="16"/>
  <c r="L187" i="16"/>
  <c r="P187" i="16"/>
  <c r="T187" i="16"/>
  <c r="X187" i="16"/>
  <c r="AB187" i="16"/>
  <c r="G188" i="16"/>
  <c r="K188" i="16"/>
  <c r="O188" i="16"/>
  <c r="S188" i="16"/>
  <c r="W188" i="16"/>
  <c r="AA188" i="16"/>
  <c r="AE188" i="16"/>
  <c r="J189" i="16"/>
  <c r="N189" i="16"/>
  <c r="R189" i="16"/>
  <c r="V189" i="16"/>
  <c r="Z189" i="16"/>
  <c r="AD189" i="16"/>
  <c r="I190" i="16"/>
  <c r="M190" i="16"/>
  <c r="Q190" i="16"/>
  <c r="U190" i="16"/>
  <c r="Y190" i="16"/>
  <c r="AC190" i="16"/>
  <c r="H191" i="16"/>
  <c r="L191" i="16"/>
  <c r="P191" i="16"/>
  <c r="T191" i="16"/>
  <c r="X191" i="16"/>
  <c r="AB191" i="16"/>
  <c r="G192" i="16"/>
  <c r="K192" i="16"/>
  <c r="O192" i="16"/>
  <c r="S192" i="16"/>
  <c r="W192" i="16"/>
  <c r="AA192" i="16"/>
  <c r="AE192" i="16"/>
  <c r="J193" i="16"/>
  <c r="N193" i="16"/>
  <c r="R193" i="16"/>
  <c r="V193" i="16"/>
  <c r="Z193" i="16"/>
  <c r="AD193" i="16"/>
  <c r="I194" i="16"/>
  <c r="M194" i="16"/>
  <c r="Q194" i="16"/>
  <c r="U194" i="16"/>
  <c r="Y194" i="16"/>
  <c r="AC194" i="16"/>
  <c r="H195" i="16"/>
  <c r="L195" i="16"/>
  <c r="P195" i="16"/>
  <c r="T195" i="16"/>
  <c r="X195" i="16"/>
  <c r="AB195" i="16"/>
  <c r="G196" i="16"/>
  <c r="K196" i="16"/>
  <c r="O196" i="16"/>
  <c r="S196" i="16"/>
  <c r="W196" i="16"/>
  <c r="AA196" i="16"/>
  <c r="AE196" i="16"/>
  <c r="J197" i="16"/>
  <c r="N197" i="16"/>
  <c r="R197" i="16"/>
  <c r="V197" i="16"/>
  <c r="Z197" i="16"/>
  <c r="AD197" i="16"/>
  <c r="I198" i="16"/>
  <c r="M198" i="16"/>
  <c r="Q198" i="16"/>
  <c r="U198" i="16"/>
  <c r="Y198" i="16"/>
  <c r="AC198" i="16"/>
  <c r="H199" i="16"/>
  <c r="L199" i="16"/>
  <c r="P199" i="16"/>
  <c r="T199" i="16"/>
  <c r="X199" i="16"/>
  <c r="AB199" i="16"/>
  <c r="G200" i="16"/>
  <c r="K200" i="16"/>
  <c r="O200" i="16"/>
  <c r="S200" i="16"/>
  <c r="W200" i="16"/>
  <c r="AA200" i="16"/>
  <c r="AE200" i="16"/>
  <c r="J201" i="16"/>
  <c r="N201" i="16"/>
  <c r="R201" i="16"/>
  <c r="V201" i="16"/>
  <c r="Z201" i="16"/>
  <c r="AD201" i="16"/>
  <c r="I202" i="16"/>
  <c r="M202" i="16"/>
  <c r="Q202" i="16"/>
  <c r="U202" i="16"/>
  <c r="Y202" i="16"/>
  <c r="AC202" i="16"/>
  <c r="H203" i="16"/>
  <c r="L203" i="16"/>
  <c r="P203" i="16"/>
  <c r="T203" i="16"/>
  <c r="X203" i="16"/>
  <c r="AB203" i="16"/>
  <c r="G204" i="16"/>
  <c r="K204" i="16"/>
  <c r="O204" i="16"/>
  <c r="S204" i="16"/>
  <c r="W204" i="16"/>
  <c r="AA204" i="16"/>
  <c r="AE204" i="16"/>
  <c r="J205" i="16"/>
  <c r="N205" i="16"/>
  <c r="R205" i="16"/>
  <c r="V205" i="16"/>
  <c r="Z205" i="16"/>
  <c r="AD205" i="16"/>
  <c r="I206" i="16"/>
  <c r="M206" i="16"/>
  <c r="Q206" i="16"/>
  <c r="U206" i="16"/>
  <c r="Y206" i="16"/>
  <c r="AC206" i="16"/>
  <c r="H207" i="16"/>
  <c r="L207" i="16"/>
  <c r="P207" i="16"/>
  <c r="T207" i="16"/>
  <c r="X207" i="16"/>
  <c r="AB207" i="16"/>
  <c r="G208" i="16"/>
  <c r="K208" i="16"/>
  <c r="O208" i="16"/>
  <c r="S208" i="16"/>
  <c r="W208" i="16"/>
  <c r="AA208" i="16"/>
  <c r="AE208" i="16"/>
  <c r="J209" i="16"/>
  <c r="N209" i="16"/>
  <c r="R209" i="16"/>
  <c r="V209" i="16"/>
  <c r="Z209" i="16"/>
  <c r="AD209" i="16"/>
  <c r="I210" i="16"/>
  <c r="M210" i="16"/>
  <c r="Q210" i="16"/>
  <c r="U210" i="16"/>
  <c r="Y210" i="16"/>
  <c r="AC210" i="16"/>
  <c r="H211" i="16"/>
  <c r="L211" i="16"/>
  <c r="P211" i="16"/>
  <c r="T211" i="16"/>
  <c r="X211" i="16"/>
  <c r="AB211" i="16"/>
  <c r="G212" i="16"/>
  <c r="K212" i="16"/>
  <c r="O212" i="16"/>
  <c r="S212" i="16"/>
  <c r="W212" i="16"/>
  <c r="AA212" i="16"/>
  <c r="AE212" i="16"/>
  <c r="J213" i="16"/>
  <c r="N213" i="16"/>
  <c r="R213" i="16"/>
  <c r="V213" i="16"/>
  <c r="Z213" i="16"/>
  <c r="AD213" i="16"/>
  <c r="I214" i="16"/>
  <c r="M214" i="16"/>
  <c r="Q214" i="16"/>
  <c r="U214" i="16"/>
  <c r="Y214" i="16"/>
  <c r="AC214" i="16"/>
  <c r="H215" i="16"/>
  <c r="L215" i="16"/>
  <c r="P215" i="16"/>
  <c r="T215" i="16"/>
  <c r="X215" i="16"/>
  <c r="AB215" i="16"/>
  <c r="G216" i="16"/>
  <c r="K216" i="16"/>
  <c r="O216" i="16"/>
  <c r="S216" i="16"/>
  <c r="W216" i="16"/>
  <c r="AA216" i="16"/>
  <c r="AE216" i="16"/>
  <c r="J217" i="16"/>
  <c r="N217" i="16"/>
  <c r="R217" i="16"/>
  <c r="V217" i="16"/>
  <c r="Z217" i="16"/>
  <c r="AD217" i="16"/>
  <c r="I218" i="16"/>
  <c r="M218" i="16"/>
  <c r="Q218" i="16"/>
  <c r="U218" i="16"/>
  <c r="Y218" i="16"/>
  <c r="AC218" i="16"/>
  <c r="H219" i="16"/>
  <c r="L219" i="16"/>
  <c r="P219" i="16"/>
  <c r="T219" i="16"/>
  <c r="X219" i="16"/>
  <c r="AB219" i="16"/>
  <c r="G220" i="16"/>
  <c r="K220" i="16"/>
  <c r="O220" i="16"/>
  <c r="S220" i="16"/>
  <c r="W220" i="16"/>
  <c r="AA220" i="16"/>
  <c r="AE220" i="16"/>
  <c r="J221" i="16"/>
  <c r="N221" i="16"/>
  <c r="R221" i="16"/>
  <c r="V221" i="16"/>
  <c r="Z221" i="16"/>
  <c r="AD221" i="16"/>
  <c r="I222" i="16"/>
  <c r="M222" i="16"/>
  <c r="Q222" i="16"/>
  <c r="U222" i="16"/>
  <c r="Y222" i="16"/>
  <c r="AC222" i="16"/>
  <c r="H223" i="16"/>
  <c r="L223" i="16"/>
  <c r="P223" i="16"/>
  <c r="T223" i="16"/>
  <c r="X223" i="16"/>
  <c r="AB223" i="16"/>
  <c r="G224" i="16"/>
  <c r="K224" i="16"/>
  <c r="O224" i="16"/>
  <c r="S224" i="16"/>
  <c r="W224" i="16"/>
  <c r="AA224" i="16"/>
  <c r="AE224" i="16"/>
  <c r="J225" i="16"/>
  <c r="N225" i="16"/>
  <c r="R225" i="16"/>
  <c r="V225" i="16"/>
  <c r="Z225" i="16"/>
  <c r="AD225" i="16"/>
  <c r="I226" i="16"/>
  <c r="M226" i="16"/>
  <c r="Q226" i="16"/>
  <c r="U226" i="16"/>
  <c r="Y226" i="16"/>
  <c r="AC226" i="16"/>
  <c r="H227" i="16"/>
  <c r="L227" i="16"/>
  <c r="P227" i="16"/>
  <c r="T227" i="16"/>
  <c r="X227" i="16"/>
  <c r="AB227" i="16"/>
  <c r="G228" i="16"/>
  <c r="K228" i="16"/>
  <c r="O228" i="16"/>
  <c r="S228" i="16"/>
  <c r="W228" i="16"/>
  <c r="AA228" i="16"/>
  <c r="AE228" i="16"/>
  <c r="J229" i="16"/>
  <c r="N229" i="16"/>
  <c r="R229" i="16"/>
  <c r="V229" i="16"/>
  <c r="Z229" i="16"/>
  <c r="AD229" i="16"/>
  <c r="I230" i="16"/>
  <c r="M230" i="16"/>
  <c r="Q230" i="16"/>
  <c r="U230" i="16"/>
  <c r="Y230" i="16"/>
  <c r="AC230" i="16"/>
  <c r="H231" i="16"/>
  <c r="L231" i="16"/>
  <c r="P231" i="16"/>
  <c r="T231" i="16"/>
  <c r="X231" i="16"/>
  <c r="AB231" i="16"/>
  <c r="G232" i="16"/>
  <c r="K232" i="16"/>
  <c r="O232" i="16"/>
  <c r="S232" i="16"/>
  <c r="W232" i="16"/>
  <c r="AA232" i="16"/>
  <c r="AE232" i="16"/>
  <c r="J233" i="16"/>
  <c r="N233" i="16"/>
  <c r="R233" i="16"/>
  <c r="V233" i="16"/>
  <c r="Z233" i="16"/>
  <c r="AD233" i="16"/>
  <c r="I234" i="16"/>
  <c r="M234" i="16"/>
  <c r="Q234" i="16"/>
  <c r="U234" i="16"/>
  <c r="Y234" i="16"/>
  <c r="AC234" i="16"/>
  <c r="H235" i="16"/>
  <c r="L235" i="16"/>
  <c r="P235" i="16"/>
  <c r="T235" i="16"/>
  <c r="X235" i="16"/>
  <c r="AB235" i="16"/>
  <c r="G236" i="16"/>
  <c r="K236" i="16"/>
  <c r="O236" i="16"/>
  <c r="S236" i="16"/>
  <c r="W236" i="16"/>
  <c r="AA236" i="16"/>
  <c r="AE236" i="16"/>
  <c r="J237" i="16"/>
  <c r="N237" i="16"/>
  <c r="R237" i="16"/>
  <c r="V237" i="16"/>
  <c r="Z237" i="16"/>
  <c r="AD237" i="16"/>
  <c r="I238" i="16"/>
  <c r="M238" i="16"/>
  <c r="Q238" i="16"/>
  <c r="U238" i="16"/>
  <c r="Y238" i="16"/>
  <c r="AC238" i="16"/>
  <c r="H239" i="16"/>
  <c r="L239" i="16"/>
  <c r="P239" i="16"/>
  <c r="T239" i="16"/>
  <c r="X239" i="16"/>
  <c r="AB239" i="16"/>
  <c r="G240" i="16"/>
  <c r="K240" i="16"/>
  <c r="O240" i="16"/>
  <c r="S240" i="16"/>
  <c r="W240" i="16"/>
  <c r="AA240" i="16"/>
  <c r="AE240" i="16"/>
  <c r="J241" i="16"/>
  <c r="N241" i="16"/>
  <c r="R241" i="16"/>
  <c r="V241" i="16"/>
  <c r="Z241" i="16"/>
  <c r="AD241" i="16"/>
  <c r="I242" i="16"/>
  <c r="M242" i="16"/>
  <c r="Q242" i="16"/>
  <c r="U242" i="16"/>
  <c r="Y242" i="16"/>
  <c r="AC242" i="16"/>
  <c r="H243" i="16"/>
  <c r="L243" i="16"/>
  <c r="P243" i="16"/>
  <c r="T243" i="16"/>
  <c r="X243" i="16"/>
  <c r="AB243" i="16"/>
  <c r="G244" i="16"/>
  <c r="K244" i="16"/>
  <c r="O244" i="16"/>
  <c r="S244" i="16"/>
  <c r="W244" i="16"/>
  <c r="AA244" i="16"/>
  <c r="AE244" i="16"/>
  <c r="J245" i="16"/>
  <c r="N245" i="16"/>
  <c r="R245" i="16"/>
  <c r="V245" i="16"/>
  <c r="Z245" i="16"/>
  <c r="AD245" i="16"/>
  <c r="I246" i="16"/>
  <c r="M246" i="16"/>
  <c r="Q246" i="16"/>
  <c r="U246" i="16"/>
  <c r="Y246" i="16"/>
  <c r="AC246" i="16"/>
  <c r="H247" i="16"/>
  <c r="L247" i="16"/>
  <c r="P247" i="16"/>
  <c r="T247" i="16"/>
  <c r="X247" i="16"/>
  <c r="AB247" i="16"/>
  <c r="G248" i="16"/>
  <c r="K248" i="16"/>
  <c r="O248" i="16"/>
  <c r="S248" i="16"/>
  <c r="W248" i="16"/>
  <c r="AA248" i="16"/>
  <c r="AE248" i="16"/>
  <c r="J249" i="16"/>
  <c r="N249" i="16"/>
  <c r="R249" i="16"/>
  <c r="V249" i="16"/>
  <c r="Z249" i="16"/>
  <c r="AD249" i="16"/>
  <c r="I250" i="16"/>
  <c r="M250" i="16"/>
  <c r="Q250" i="16"/>
  <c r="U250" i="16"/>
  <c r="Y250" i="16"/>
  <c r="AC250" i="16"/>
  <c r="H251" i="16"/>
  <c r="L251" i="16"/>
  <c r="P251" i="16"/>
  <c r="T251" i="16"/>
  <c r="X251" i="16"/>
  <c r="AB251" i="16"/>
  <c r="G252" i="16"/>
  <c r="K252" i="16"/>
  <c r="O252" i="16"/>
  <c r="S252" i="16"/>
  <c r="W252" i="16"/>
  <c r="AA252" i="16"/>
  <c r="AE252" i="16"/>
  <c r="J253" i="16"/>
  <c r="N253" i="16"/>
  <c r="R253" i="16"/>
  <c r="V253" i="16"/>
  <c r="Z253" i="16"/>
  <c r="AD253" i="16"/>
  <c r="I254" i="16"/>
  <c r="M254" i="16"/>
  <c r="Q254" i="16"/>
  <c r="U254" i="16"/>
  <c r="Y254" i="16"/>
  <c r="AC254" i="16"/>
  <c r="H255" i="16"/>
  <c r="L255" i="16"/>
  <c r="P255" i="16"/>
  <c r="T255" i="16"/>
  <c r="X255" i="16"/>
  <c r="AB255" i="16"/>
  <c r="X174" i="16"/>
  <c r="AB174" i="16"/>
  <c r="G175" i="16"/>
  <c r="K175" i="16"/>
  <c r="O175" i="16"/>
  <c r="S175" i="16"/>
  <c r="W175" i="16"/>
  <c r="AA175" i="16"/>
  <c r="AE175" i="16"/>
  <c r="J176" i="16"/>
  <c r="N176" i="16"/>
  <c r="R176" i="16"/>
  <c r="V176" i="16"/>
  <c r="Z176" i="16"/>
  <c r="AD176" i="16"/>
  <c r="I177" i="16"/>
  <c r="M177" i="16"/>
  <c r="Q177" i="16"/>
  <c r="U177" i="16"/>
  <c r="Y177" i="16"/>
  <c r="AC177" i="16"/>
  <c r="H178" i="16"/>
  <c r="L178" i="16"/>
  <c r="P178" i="16"/>
  <c r="T178" i="16"/>
  <c r="X178" i="16"/>
  <c r="AB178" i="16"/>
  <c r="G179" i="16"/>
  <c r="K179" i="16"/>
  <c r="O179" i="16"/>
  <c r="S179" i="16"/>
  <c r="W179" i="16"/>
  <c r="AA179" i="16"/>
  <c r="AE179" i="16"/>
  <c r="J180" i="16"/>
  <c r="N180" i="16"/>
  <c r="R180" i="16"/>
  <c r="V180" i="16"/>
  <c r="Z180" i="16"/>
  <c r="AD180" i="16"/>
  <c r="I181" i="16"/>
  <c r="M181" i="16"/>
  <c r="Q181" i="16"/>
  <c r="U181" i="16"/>
  <c r="Y181" i="16"/>
  <c r="AC181" i="16"/>
  <c r="H182" i="16"/>
  <c r="L182" i="16"/>
  <c r="P182" i="16"/>
  <c r="T182" i="16"/>
  <c r="X182" i="16"/>
  <c r="AB182" i="16"/>
  <c r="G183" i="16"/>
  <c r="K183" i="16"/>
  <c r="O183" i="16"/>
  <c r="S183" i="16"/>
  <c r="W183" i="16"/>
  <c r="AA183" i="16"/>
  <c r="AE183" i="16"/>
  <c r="J184" i="16"/>
  <c r="N184" i="16"/>
  <c r="R184" i="16"/>
  <c r="V184" i="16"/>
  <c r="Z184" i="16"/>
  <c r="AD184" i="16"/>
  <c r="I185" i="16"/>
  <c r="M185" i="16"/>
  <c r="Q185" i="16"/>
  <c r="U185" i="16"/>
  <c r="Y185" i="16"/>
  <c r="AC185" i="16"/>
  <c r="H186" i="16"/>
  <c r="L186" i="16"/>
  <c r="P186" i="16"/>
  <c r="T186" i="16"/>
  <c r="X186" i="16"/>
  <c r="AB186" i="16"/>
  <c r="G187" i="16"/>
  <c r="K187" i="16"/>
  <c r="O187" i="16"/>
  <c r="S187" i="16"/>
  <c r="W187" i="16"/>
  <c r="AA187" i="16"/>
  <c r="AE187" i="16"/>
  <c r="J188" i="16"/>
  <c r="N188" i="16"/>
  <c r="R188" i="16"/>
  <c r="V188" i="16"/>
  <c r="Z188" i="16"/>
  <c r="AD188" i="16"/>
  <c r="I189" i="16"/>
  <c r="M189" i="16"/>
  <c r="Q189" i="16"/>
  <c r="U189" i="16"/>
  <c r="Y189" i="16"/>
  <c r="AC189" i="16"/>
  <c r="H190" i="16"/>
  <c r="L190" i="16"/>
  <c r="P190" i="16"/>
  <c r="T190" i="16"/>
  <c r="X190" i="16"/>
  <c r="AB190" i="16"/>
  <c r="G191" i="16"/>
  <c r="K191" i="16"/>
  <c r="O191" i="16"/>
  <c r="S191" i="16"/>
  <c r="W191" i="16"/>
  <c r="AA191" i="16"/>
  <c r="AE191" i="16"/>
  <c r="J192" i="16"/>
  <c r="N192" i="16"/>
  <c r="R192" i="16"/>
  <c r="V192" i="16"/>
  <c r="Z192" i="16"/>
  <c r="AD192" i="16"/>
  <c r="I193" i="16"/>
  <c r="M193" i="16"/>
  <c r="Q193" i="16"/>
  <c r="U193" i="16"/>
  <c r="Y193" i="16"/>
  <c r="AC193" i="16"/>
  <c r="H194" i="16"/>
  <c r="L194" i="16"/>
  <c r="P194" i="16"/>
  <c r="T194" i="16"/>
  <c r="X194" i="16"/>
  <c r="AB194" i="16"/>
  <c r="G195" i="16"/>
  <c r="K195" i="16"/>
  <c r="O195" i="16"/>
  <c r="S195" i="16"/>
  <c r="W195" i="16"/>
  <c r="AA195" i="16"/>
  <c r="AE195" i="16"/>
  <c r="J196" i="16"/>
  <c r="N196" i="16"/>
  <c r="R196" i="16"/>
  <c r="V196" i="16"/>
  <c r="Z196" i="16"/>
  <c r="AD196" i="16"/>
  <c r="I197" i="16"/>
  <c r="M197" i="16"/>
  <c r="Q197" i="16"/>
  <c r="U197" i="16"/>
  <c r="Y197" i="16"/>
  <c r="AC197" i="16"/>
  <c r="H198" i="16"/>
  <c r="L198" i="16"/>
  <c r="P198" i="16"/>
  <c r="T198" i="16"/>
  <c r="X198" i="16"/>
  <c r="AB198" i="16"/>
  <c r="G199" i="16"/>
  <c r="K199" i="16"/>
  <c r="O199" i="16"/>
  <c r="S199" i="16"/>
  <c r="W199" i="16"/>
  <c r="AA199" i="16"/>
  <c r="AE199" i="16"/>
  <c r="J200" i="16"/>
  <c r="N200" i="16"/>
  <c r="R200" i="16"/>
  <c r="V200" i="16"/>
  <c r="Z200" i="16"/>
  <c r="AD200" i="16"/>
  <c r="I201" i="16"/>
  <c r="M201" i="16"/>
  <c r="Q201" i="16"/>
  <c r="U201" i="16"/>
  <c r="Y201" i="16"/>
  <c r="AC201" i="16"/>
  <c r="H202" i="16"/>
  <c r="L202" i="16"/>
  <c r="P202" i="16"/>
  <c r="T202" i="16"/>
  <c r="X202" i="16"/>
  <c r="AB202" i="16"/>
  <c r="G203" i="16"/>
  <c r="K203" i="16"/>
  <c r="O203" i="16"/>
  <c r="S203" i="16"/>
  <c r="W203" i="16"/>
  <c r="AA203" i="16"/>
  <c r="AE203" i="16"/>
  <c r="J204" i="16"/>
  <c r="N204" i="16"/>
  <c r="R204" i="16"/>
  <c r="V204" i="16"/>
  <c r="Z204" i="16"/>
  <c r="AD204" i="16"/>
  <c r="I205" i="16"/>
  <c r="M205" i="16"/>
  <c r="Q205" i="16"/>
  <c r="U205" i="16"/>
  <c r="Y205" i="16"/>
  <c r="AC205" i="16"/>
  <c r="H206" i="16"/>
  <c r="L206" i="16"/>
  <c r="P206" i="16"/>
  <c r="T206" i="16"/>
  <c r="X206" i="16"/>
  <c r="AB206" i="16"/>
  <c r="G207" i="16"/>
  <c r="K207" i="16"/>
  <c r="O207" i="16"/>
  <c r="S207" i="16"/>
  <c r="W207" i="16"/>
  <c r="AA207" i="16"/>
  <c r="AE207" i="16"/>
  <c r="J208" i="16"/>
  <c r="N208" i="16"/>
  <c r="R208" i="16"/>
  <c r="V208" i="16"/>
  <c r="Z208" i="16"/>
  <c r="AD208" i="16"/>
  <c r="I209" i="16"/>
  <c r="M209" i="16"/>
  <c r="Q209" i="16"/>
  <c r="U209" i="16"/>
  <c r="Y209" i="16"/>
  <c r="AC209" i="16"/>
  <c r="H210" i="16"/>
  <c r="L210" i="16"/>
  <c r="P210" i="16"/>
  <c r="T210" i="16"/>
  <c r="X210" i="16"/>
  <c r="AB210" i="16"/>
  <c r="G211" i="16"/>
  <c r="K211" i="16"/>
  <c r="O211" i="16"/>
  <c r="S211" i="16"/>
  <c r="W211" i="16"/>
  <c r="AA211" i="16"/>
  <c r="AE211" i="16"/>
  <c r="J212" i="16"/>
  <c r="N212" i="16"/>
  <c r="R212" i="16"/>
  <c r="V212" i="16"/>
  <c r="Z212" i="16"/>
  <c r="AD212" i="16"/>
  <c r="I213" i="16"/>
  <c r="M213" i="16"/>
  <c r="Q213" i="16"/>
  <c r="U213" i="16"/>
  <c r="Y213" i="16"/>
  <c r="AC213" i="16"/>
  <c r="H214" i="16"/>
  <c r="L214" i="16"/>
  <c r="P214" i="16"/>
  <c r="T214" i="16"/>
  <c r="X214" i="16"/>
  <c r="AB214" i="16"/>
  <c r="G215" i="16"/>
  <c r="K215" i="16"/>
  <c r="O215" i="16"/>
  <c r="S215" i="16"/>
  <c r="W215" i="16"/>
  <c r="AA215" i="16"/>
  <c r="AE215" i="16"/>
  <c r="J216" i="16"/>
  <c r="N216" i="16"/>
  <c r="R216" i="16"/>
  <c r="V216" i="16"/>
  <c r="Z216" i="16"/>
  <c r="AD216" i="16"/>
  <c r="I217" i="16"/>
  <c r="M217" i="16"/>
  <c r="Q217" i="16"/>
  <c r="U217" i="16"/>
  <c r="Y217" i="16"/>
  <c r="AC217" i="16"/>
  <c r="H218" i="16"/>
  <c r="L218" i="16"/>
  <c r="P218" i="16"/>
  <c r="T218" i="16"/>
  <c r="X218" i="16"/>
  <c r="AB218" i="16"/>
  <c r="G219" i="16"/>
  <c r="K219" i="16"/>
  <c r="O219" i="16"/>
  <c r="S219" i="16"/>
  <c r="W219" i="16"/>
  <c r="AA219" i="16"/>
  <c r="AE219" i="16"/>
  <c r="J220" i="16"/>
  <c r="N220" i="16"/>
  <c r="R220" i="16"/>
  <c r="V220" i="16"/>
  <c r="Z220" i="16"/>
  <c r="AD220" i="16"/>
  <c r="I221" i="16"/>
  <c r="M221" i="16"/>
  <c r="Q221" i="16"/>
  <c r="U221" i="16"/>
  <c r="Y221" i="16"/>
  <c r="AC221" i="16"/>
  <c r="H222" i="16"/>
  <c r="L222" i="16"/>
  <c r="P222" i="16"/>
  <c r="T222" i="16"/>
  <c r="X222" i="16"/>
  <c r="AB222" i="16"/>
  <c r="G223" i="16"/>
  <c r="K223" i="16"/>
  <c r="O223" i="16"/>
  <c r="S223" i="16"/>
  <c r="W223" i="16"/>
  <c r="AA223" i="16"/>
  <c r="AE223" i="16"/>
  <c r="J224" i="16"/>
  <c r="N224" i="16"/>
  <c r="R224" i="16"/>
  <c r="V224" i="16"/>
  <c r="Z224" i="16"/>
  <c r="AD224" i="16"/>
  <c r="I225" i="16"/>
  <c r="M225" i="16"/>
  <c r="Q225" i="16"/>
  <c r="U225" i="16"/>
  <c r="Y225" i="16"/>
  <c r="AC225" i="16"/>
  <c r="H226" i="16"/>
  <c r="L226" i="16"/>
  <c r="P226" i="16"/>
  <c r="T226" i="16"/>
  <c r="X226" i="16"/>
  <c r="AB226" i="16"/>
  <c r="G227" i="16"/>
  <c r="K227" i="16"/>
  <c r="O227" i="16"/>
  <c r="S227" i="16"/>
  <c r="W227" i="16"/>
  <c r="AA227" i="16"/>
  <c r="AE227" i="16"/>
  <c r="J228" i="16"/>
  <c r="N228" i="16"/>
  <c r="R228" i="16"/>
  <c r="V228" i="16"/>
  <c r="Z228" i="16"/>
  <c r="AD228" i="16"/>
  <c r="I229" i="16"/>
  <c r="M229" i="16"/>
  <c r="Q229" i="16"/>
  <c r="U229" i="16"/>
  <c r="Y229" i="16"/>
  <c r="AC229" i="16"/>
  <c r="H230" i="16"/>
  <c r="L230" i="16"/>
  <c r="P230" i="16"/>
  <c r="T230" i="16"/>
  <c r="X230" i="16"/>
  <c r="AB230" i="16"/>
  <c r="G231" i="16"/>
  <c r="K231" i="16"/>
  <c r="O231" i="16"/>
  <c r="S231" i="16"/>
  <c r="W231" i="16"/>
  <c r="AA231" i="16"/>
  <c r="AE231" i="16"/>
  <c r="J232" i="16"/>
  <c r="N232" i="16"/>
  <c r="R232" i="16"/>
  <c r="V232" i="16"/>
  <c r="Z232" i="16"/>
  <c r="AD232" i="16"/>
  <c r="I233" i="16"/>
  <c r="M233" i="16"/>
  <c r="Q233" i="16"/>
  <c r="U233" i="16"/>
  <c r="Y233" i="16"/>
  <c r="AC233" i="16"/>
  <c r="H234" i="16"/>
  <c r="L234" i="16"/>
  <c r="P234" i="16"/>
  <c r="T234" i="16"/>
  <c r="X234" i="16"/>
  <c r="AB234" i="16"/>
  <c r="G235" i="16"/>
  <c r="K235" i="16"/>
  <c r="O235" i="16"/>
  <c r="S235" i="16"/>
  <c r="W235" i="16"/>
  <c r="AA235" i="16"/>
  <c r="AE235" i="16"/>
  <c r="J236" i="16"/>
  <c r="N236" i="16"/>
  <c r="R236" i="16"/>
  <c r="V236" i="16"/>
  <c r="Z236" i="16"/>
  <c r="AD236" i="16"/>
  <c r="I237" i="16"/>
  <c r="M237" i="16"/>
  <c r="Q237" i="16"/>
  <c r="U237" i="16"/>
  <c r="Y237" i="16"/>
  <c r="AC237" i="16"/>
  <c r="H238" i="16"/>
  <c r="L238" i="16"/>
  <c r="P238" i="16"/>
  <c r="T238" i="16"/>
  <c r="X238" i="16"/>
  <c r="AB238" i="16"/>
  <c r="G239" i="16"/>
  <c r="K239" i="16"/>
  <c r="O239" i="16"/>
  <c r="S239" i="16"/>
  <c r="W239" i="16"/>
  <c r="AA239" i="16"/>
  <c r="AE239" i="16"/>
  <c r="J240" i="16"/>
  <c r="N240" i="16"/>
  <c r="R240" i="16"/>
  <c r="V240" i="16"/>
  <c r="Z240" i="16"/>
  <c r="AD240" i="16"/>
  <c r="I241" i="16"/>
  <c r="M241" i="16"/>
  <c r="Q241" i="16"/>
  <c r="U241" i="16"/>
  <c r="Y241" i="16"/>
  <c r="AC241" i="16"/>
  <c r="H242" i="16"/>
  <c r="L242" i="16"/>
  <c r="P242" i="16"/>
  <c r="T242" i="16"/>
  <c r="X242" i="16"/>
  <c r="AB242" i="16"/>
  <c r="G243" i="16"/>
  <c r="K243" i="16"/>
  <c r="O243" i="16"/>
  <c r="S243" i="16"/>
  <c r="W243" i="16"/>
  <c r="AA243" i="16"/>
  <c r="AE243" i="16"/>
  <c r="J244" i="16"/>
  <c r="N244" i="16"/>
  <c r="R244" i="16"/>
  <c r="V244" i="16"/>
  <c r="Z244" i="16"/>
  <c r="AD244" i="16"/>
  <c r="I245" i="16"/>
  <c r="M245" i="16"/>
  <c r="Q245" i="16"/>
  <c r="U245" i="16"/>
  <c r="Y245" i="16"/>
  <c r="AC245" i="16"/>
  <c r="H246" i="16"/>
  <c r="L246" i="16"/>
  <c r="P246" i="16"/>
  <c r="T246" i="16"/>
  <c r="X246" i="16"/>
  <c r="AB246" i="16"/>
  <c r="G247" i="16"/>
  <c r="K247" i="16"/>
  <c r="O247" i="16"/>
  <c r="S247" i="16"/>
  <c r="W247" i="16"/>
  <c r="AA247" i="16"/>
  <c r="AE247" i="16"/>
  <c r="J248" i="16"/>
  <c r="N248" i="16"/>
  <c r="R248" i="16"/>
  <c r="V248" i="16"/>
  <c r="Z248" i="16"/>
  <c r="AD248" i="16"/>
  <c r="I249" i="16"/>
  <c r="M249" i="16"/>
  <c r="Q249" i="16"/>
  <c r="U249" i="16"/>
  <c r="Y249" i="16"/>
  <c r="AC249" i="16"/>
  <c r="H250" i="16"/>
  <c r="L250" i="16"/>
  <c r="P250" i="16"/>
  <c r="T250" i="16"/>
  <c r="X250" i="16"/>
  <c r="AB250" i="16"/>
  <c r="G251" i="16"/>
  <c r="K251" i="16"/>
  <c r="O251" i="16"/>
  <c r="S251" i="16"/>
  <c r="W251" i="16"/>
  <c r="AA251" i="16"/>
  <c r="AE251" i="16"/>
  <c r="J252" i="16"/>
  <c r="N252" i="16"/>
  <c r="R252" i="16"/>
  <c r="V252" i="16"/>
  <c r="Z252" i="16"/>
  <c r="AD252" i="16"/>
  <c r="I253" i="16"/>
  <c r="M253" i="16"/>
  <c r="Q253" i="16"/>
  <c r="U253" i="16"/>
  <c r="Y253" i="16"/>
  <c r="AC253" i="16"/>
  <c r="H254" i="16"/>
  <c r="L254" i="16"/>
  <c r="P254" i="16"/>
  <c r="T254" i="16"/>
  <c r="X254" i="16"/>
  <c r="AB254" i="16"/>
  <c r="G255" i="16"/>
  <c r="K255" i="16"/>
  <c r="O255" i="16"/>
  <c r="S255" i="16"/>
  <c r="W255" i="16"/>
  <c r="AA255" i="16"/>
  <c r="AE255" i="16"/>
  <c r="Y6" i="16"/>
  <c r="AC6" i="16"/>
  <c r="X7" i="16"/>
  <c r="AB7" i="16"/>
  <c r="W8" i="16"/>
  <c r="AA8" i="16"/>
  <c r="AE8" i="16"/>
  <c r="Z9" i="16"/>
  <c r="AD9" i="16"/>
  <c r="Y10" i="16"/>
  <c r="AC10" i="16"/>
  <c r="X11" i="16"/>
  <c r="AB11" i="16"/>
  <c r="W12" i="16"/>
  <c r="AA12" i="16"/>
  <c r="AE12" i="16"/>
  <c r="Z13" i="16"/>
  <c r="AD13" i="16"/>
  <c r="Y14" i="16"/>
  <c r="AC14" i="16"/>
  <c r="X15" i="16"/>
  <c r="AB15" i="16"/>
  <c r="X6" i="16"/>
  <c r="AB6" i="16"/>
  <c r="W7" i="16"/>
  <c r="AA7" i="16"/>
  <c r="AE7" i="16"/>
  <c r="Z8" i="16"/>
  <c r="AD8" i="16"/>
  <c r="Y9" i="16"/>
  <c r="AC9" i="16"/>
  <c r="X10" i="16"/>
  <c r="AB10" i="16"/>
  <c r="W11" i="16"/>
  <c r="AA11" i="16"/>
  <c r="AE11" i="16"/>
  <c r="Z12" i="16"/>
  <c r="AD12" i="16"/>
  <c r="Y13" i="16"/>
  <c r="AC13" i="16"/>
  <c r="X14" i="16"/>
  <c r="AB14" i="16"/>
  <c r="W15" i="16"/>
  <c r="AA15" i="16"/>
  <c r="AE15" i="16"/>
  <c r="V8" i="16"/>
  <c r="V12" i="16"/>
  <c r="V7" i="16"/>
  <c r="V11" i="16"/>
  <c r="H6" i="16"/>
  <c r="L6" i="16"/>
  <c r="P6" i="16"/>
  <c r="T6" i="16"/>
  <c r="J7" i="16"/>
  <c r="N7" i="16"/>
  <c r="R7" i="16"/>
  <c r="H8" i="16"/>
  <c r="L8" i="16"/>
  <c r="P8" i="16"/>
  <c r="T8" i="16"/>
  <c r="J9" i="16"/>
  <c r="N9" i="16"/>
  <c r="R9" i="16"/>
  <c r="H10" i="16"/>
  <c r="L10" i="16"/>
  <c r="P10" i="16"/>
  <c r="T10" i="16"/>
  <c r="J11" i="16"/>
  <c r="N11" i="16"/>
  <c r="R11" i="16"/>
  <c r="H12" i="16"/>
  <c r="L12" i="16"/>
  <c r="P12" i="16"/>
  <c r="T12" i="16"/>
  <c r="J13" i="16"/>
  <c r="N13" i="16"/>
  <c r="R13" i="16"/>
  <c r="H14" i="16"/>
  <c r="L14" i="16"/>
  <c r="P14" i="16"/>
  <c r="T14" i="16"/>
  <c r="K6" i="16"/>
  <c r="O6" i="16"/>
  <c r="S6" i="16"/>
  <c r="I7" i="16"/>
  <c r="M7" i="16"/>
  <c r="Q7" i="16"/>
  <c r="U7" i="16"/>
  <c r="K8" i="16"/>
  <c r="O8" i="16"/>
  <c r="S8" i="16"/>
  <c r="I9" i="16"/>
  <c r="M9" i="16"/>
  <c r="Q9" i="16"/>
  <c r="U9" i="16"/>
  <c r="K10" i="16"/>
  <c r="O10" i="16"/>
  <c r="S10" i="16"/>
  <c r="I11" i="16"/>
  <c r="M11" i="16"/>
  <c r="Q11" i="16"/>
  <c r="U11" i="16"/>
  <c r="K12" i="16"/>
  <c r="O12" i="16"/>
  <c r="J191" i="16"/>
  <c r="N191" i="16"/>
  <c r="R191" i="16"/>
  <c r="V191" i="16"/>
  <c r="Z191" i="16"/>
  <c r="AD191" i="16"/>
  <c r="I192" i="16"/>
  <c r="M192" i="16"/>
  <c r="Q192" i="16"/>
  <c r="U192" i="16"/>
  <c r="Y192" i="16"/>
  <c r="AC192" i="16"/>
  <c r="H193" i="16"/>
  <c r="L193" i="16"/>
  <c r="P193" i="16"/>
  <c r="T193" i="16"/>
  <c r="X193" i="16"/>
  <c r="AB193" i="16"/>
  <c r="G194" i="16"/>
  <c r="K194" i="16"/>
  <c r="O194" i="16"/>
  <c r="S194" i="16"/>
  <c r="W194" i="16"/>
  <c r="AA194" i="16"/>
  <c r="AE194" i="16"/>
  <c r="J195" i="16"/>
  <c r="N195" i="16"/>
  <c r="R195" i="16"/>
  <c r="V195" i="16"/>
  <c r="Z195" i="16"/>
  <c r="AD195" i="16"/>
  <c r="I196" i="16"/>
  <c r="M196" i="16"/>
  <c r="Q196" i="16"/>
  <c r="U196" i="16"/>
  <c r="Y196" i="16"/>
  <c r="AC196" i="16"/>
  <c r="H197" i="16"/>
  <c r="L197" i="16"/>
  <c r="P197" i="16"/>
  <c r="T197" i="16"/>
  <c r="X197" i="16"/>
  <c r="AB197" i="16"/>
  <c r="G198" i="16"/>
  <c r="K198" i="16"/>
  <c r="O198" i="16"/>
  <c r="S198" i="16"/>
  <c r="W198" i="16"/>
  <c r="AA198" i="16"/>
  <c r="AE198" i="16"/>
  <c r="J199" i="16"/>
  <c r="N199" i="16"/>
  <c r="R199" i="16"/>
  <c r="V199" i="16"/>
  <c r="Z199" i="16"/>
  <c r="AD199" i="16"/>
  <c r="I200" i="16"/>
  <c r="M200" i="16"/>
  <c r="Q200" i="16"/>
  <c r="U200" i="16"/>
  <c r="Y200" i="16"/>
  <c r="AC200" i="16"/>
  <c r="H201" i="16"/>
  <c r="L201" i="16"/>
  <c r="P201" i="16"/>
  <c r="T201" i="16"/>
  <c r="X201" i="16"/>
  <c r="AB201" i="16"/>
  <c r="G202" i="16"/>
  <c r="K202" i="16"/>
  <c r="O202" i="16"/>
  <c r="S202" i="16"/>
  <c r="W202" i="16"/>
  <c r="AA202" i="16"/>
  <c r="AE202" i="16"/>
  <c r="J203" i="16"/>
  <c r="N203" i="16"/>
  <c r="R203" i="16"/>
  <c r="V203" i="16"/>
  <c r="Z203" i="16"/>
  <c r="AD203" i="16"/>
  <c r="I204" i="16"/>
  <c r="M204" i="16"/>
  <c r="Q204" i="16"/>
  <c r="U204" i="16"/>
  <c r="Y204" i="16"/>
  <c r="AC204" i="16"/>
  <c r="H205" i="16"/>
  <c r="L205" i="16"/>
  <c r="P205" i="16"/>
  <c r="T205" i="16"/>
  <c r="X205" i="16"/>
  <c r="AB205" i="16"/>
  <c r="G206" i="16"/>
  <c r="K206" i="16"/>
  <c r="O206" i="16"/>
  <c r="S206" i="16"/>
  <c r="W206" i="16"/>
  <c r="AA206" i="16"/>
  <c r="AE206" i="16"/>
  <c r="J207" i="16"/>
  <c r="N207" i="16"/>
  <c r="R207" i="16"/>
  <c r="V207" i="16"/>
  <c r="Z207" i="16"/>
  <c r="AD207" i="16"/>
  <c r="I208" i="16"/>
  <c r="M208" i="16"/>
  <c r="Q208" i="16"/>
  <c r="U208" i="16"/>
  <c r="Y208" i="16"/>
  <c r="AC208" i="16"/>
  <c r="H209" i="16"/>
  <c r="L209" i="16"/>
  <c r="P209" i="16"/>
  <c r="T209" i="16"/>
  <c r="X209" i="16"/>
  <c r="AB209" i="16"/>
  <c r="G210" i="16"/>
  <c r="K210" i="16"/>
  <c r="O210" i="16"/>
  <c r="S210" i="16"/>
  <c r="W210" i="16"/>
  <c r="AA210" i="16"/>
  <c r="AE210" i="16"/>
  <c r="J211" i="16"/>
  <c r="N211" i="16"/>
  <c r="R211" i="16"/>
  <c r="V211" i="16"/>
  <c r="Z211" i="16"/>
  <c r="AD211" i="16"/>
  <c r="I212" i="16"/>
  <c r="M212" i="16"/>
  <c r="Q212" i="16"/>
  <c r="U212" i="16"/>
  <c r="Y212" i="16"/>
  <c r="AC212" i="16"/>
  <c r="H213" i="16"/>
  <c r="L213" i="16"/>
  <c r="P213" i="16"/>
  <c r="T213" i="16"/>
  <c r="X213" i="16"/>
  <c r="AB213" i="16"/>
  <c r="G214" i="16"/>
  <c r="K214" i="16"/>
  <c r="O214" i="16"/>
  <c r="S214" i="16"/>
  <c r="W214" i="16"/>
  <c r="AA214" i="16"/>
  <c r="AE214" i="16"/>
  <c r="J215" i="16"/>
  <c r="N215" i="16"/>
  <c r="R215" i="16"/>
  <c r="V215" i="16"/>
  <c r="Z215" i="16"/>
  <c r="AD215" i="16"/>
  <c r="I216" i="16"/>
  <c r="M216" i="16"/>
  <c r="Q216" i="16"/>
  <c r="U216" i="16"/>
  <c r="Y216" i="16"/>
  <c r="AC216" i="16"/>
  <c r="H217" i="16"/>
  <c r="L217" i="16"/>
  <c r="P217" i="16"/>
  <c r="T217" i="16"/>
  <c r="X217" i="16"/>
  <c r="AB217" i="16"/>
  <c r="G218" i="16"/>
  <c r="K218" i="16"/>
  <c r="O218" i="16"/>
  <c r="S218" i="16"/>
  <c r="W218" i="16"/>
  <c r="AA218" i="16"/>
  <c r="AE218" i="16"/>
  <c r="J219" i="16"/>
  <c r="N219" i="16"/>
  <c r="R219" i="16"/>
  <c r="V219" i="16"/>
  <c r="Z219" i="16"/>
  <c r="AD219" i="16"/>
  <c r="I220" i="16"/>
  <c r="M220" i="16"/>
  <c r="Q220" i="16"/>
  <c r="U220" i="16"/>
  <c r="Y220" i="16"/>
  <c r="AC220" i="16"/>
  <c r="H221" i="16"/>
  <c r="L221" i="16"/>
  <c r="P221" i="16"/>
  <c r="T221" i="16"/>
  <c r="X221" i="16"/>
  <c r="AB221" i="16"/>
  <c r="G222" i="16"/>
  <c r="K222" i="16"/>
  <c r="O222" i="16"/>
  <c r="S222" i="16"/>
  <c r="W222" i="16"/>
  <c r="AA222" i="16"/>
  <c r="AE222" i="16"/>
  <c r="J223" i="16"/>
  <c r="N223" i="16"/>
  <c r="R223" i="16"/>
  <c r="V223" i="16"/>
  <c r="Z223" i="16"/>
  <c r="AD223" i="16"/>
  <c r="I224" i="16"/>
  <c r="M224" i="16"/>
  <c r="Q224" i="16"/>
  <c r="U224" i="16"/>
  <c r="Y224" i="16"/>
  <c r="AC224" i="16"/>
  <c r="H225" i="16"/>
  <c r="L225" i="16"/>
  <c r="P225" i="16"/>
  <c r="T225" i="16"/>
  <c r="X225" i="16"/>
  <c r="AB225" i="16"/>
  <c r="G226" i="16"/>
  <c r="K226" i="16"/>
  <c r="O226" i="16"/>
  <c r="S226" i="16"/>
  <c r="W226" i="16"/>
  <c r="AA226" i="16"/>
  <c r="AE226" i="16"/>
  <c r="J227" i="16"/>
  <c r="N227" i="16"/>
  <c r="R227" i="16"/>
  <c r="V227" i="16"/>
  <c r="Z227" i="16"/>
  <c r="AD227" i="16"/>
  <c r="I228" i="16"/>
  <c r="M228" i="16"/>
  <c r="Q228" i="16"/>
  <c r="U228" i="16"/>
  <c r="Y228" i="16"/>
  <c r="AC228" i="16"/>
  <c r="H229" i="16"/>
  <c r="L229" i="16"/>
  <c r="P229" i="16"/>
  <c r="T229" i="16"/>
  <c r="X229" i="16"/>
  <c r="AB229" i="16"/>
  <c r="G230" i="16"/>
  <c r="K230" i="16"/>
  <c r="O230" i="16"/>
  <c r="S230" i="16"/>
  <c r="W230" i="16"/>
  <c r="AA230" i="16"/>
  <c r="AE230" i="16"/>
  <c r="J231" i="16"/>
  <c r="N231" i="16"/>
  <c r="R231" i="16"/>
  <c r="V231" i="16"/>
  <c r="Z231" i="16"/>
  <c r="AD231" i="16"/>
  <c r="I232" i="16"/>
  <c r="M232" i="16"/>
  <c r="Q232" i="16"/>
  <c r="U232" i="16"/>
  <c r="Y232" i="16"/>
  <c r="AC232" i="16"/>
  <c r="H233" i="16"/>
  <c r="L233" i="16"/>
  <c r="P233" i="16"/>
  <c r="T233" i="16"/>
  <c r="X233" i="16"/>
  <c r="AB233" i="16"/>
  <c r="G234" i="16"/>
  <c r="K234" i="16"/>
  <c r="O234" i="16"/>
  <c r="S234" i="16"/>
  <c r="W234" i="16"/>
  <c r="AA234" i="16"/>
  <c r="AE234" i="16"/>
  <c r="J235" i="16"/>
  <c r="N235" i="16"/>
  <c r="R235" i="16"/>
  <c r="V235" i="16"/>
  <c r="Z235" i="16"/>
  <c r="AD235" i="16"/>
  <c r="I236" i="16"/>
  <c r="M236" i="16"/>
  <c r="Q236" i="16"/>
  <c r="U236" i="16"/>
  <c r="Y236" i="16"/>
  <c r="AC236" i="16"/>
  <c r="H237" i="16"/>
  <c r="L237" i="16"/>
  <c r="P237" i="16"/>
  <c r="T237" i="16"/>
  <c r="X237" i="16"/>
  <c r="AB237" i="16"/>
  <c r="G238" i="16"/>
  <c r="K238" i="16"/>
  <c r="O238" i="16"/>
  <c r="S238" i="16"/>
  <c r="W238" i="16"/>
  <c r="AA238" i="16"/>
  <c r="AE238" i="16"/>
  <c r="J239" i="16"/>
  <c r="N239" i="16"/>
  <c r="R239" i="16"/>
  <c r="V239" i="16"/>
  <c r="Z239" i="16"/>
  <c r="AD239" i="16"/>
  <c r="I240" i="16"/>
  <c r="M240" i="16"/>
  <c r="Q240" i="16"/>
  <c r="U240" i="16"/>
  <c r="Y240" i="16"/>
  <c r="AC240" i="16"/>
  <c r="H241" i="16"/>
  <c r="L241" i="16"/>
  <c r="P241" i="16"/>
  <c r="T241" i="16"/>
  <c r="X241" i="16"/>
  <c r="AB241" i="16"/>
  <c r="G242" i="16"/>
  <c r="K242" i="16"/>
  <c r="O242" i="16"/>
  <c r="S242" i="16"/>
  <c r="W242" i="16"/>
  <c r="AA242" i="16"/>
  <c r="AE242" i="16"/>
  <c r="J243" i="16"/>
  <c r="N243" i="16"/>
  <c r="R243" i="16"/>
  <c r="V243" i="16"/>
  <c r="Z243" i="16"/>
  <c r="AD243" i="16"/>
  <c r="I244" i="16"/>
  <c r="M244" i="16"/>
  <c r="Q244" i="16"/>
  <c r="U244" i="16"/>
  <c r="Y244" i="16"/>
  <c r="AC244" i="16"/>
  <c r="H245" i="16"/>
  <c r="L245" i="16"/>
  <c r="P245" i="16"/>
  <c r="T245" i="16"/>
  <c r="X245" i="16"/>
  <c r="AB245" i="16"/>
  <c r="G246" i="16"/>
  <c r="K246" i="16"/>
  <c r="O246" i="16"/>
  <c r="S246" i="16"/>
  <c r="W246" i="16"/>
  <c r="AA246" i="16"/>
  <c r="AE246" i="16"/>
  <c r="J247" i="16"/>
  <c r="N247" i="16"/>
  <c r="R247" i="16"/>
  <c r="V247" i="16"/>
  <c r="Z247" i="16"/>
  <c r="AD247" i="16"/>
  <c r="I248" i="16"/>
  <c r="M248" i="16"/>
  <c r="Q248" i="16"/>
  <c r="U248" i="16"/>
  <c r="Y248" i="16"/>
  <c r="AC248" i="16"/>
  <c r="H249" i="16"/>
  <c r="L249" i="16"/>
  <c r="P249" i="16"/>
  <c r="T249" i="16"/>
  <c r="X249" i="16"/>
  <c r="AB249" i="16"/>
  <c r="G250" i="16"/>
  <c r="K250" i="16"/>
  <c r="O250" i="16"/>
  <c r="S250" i="16"/>
  <c r="W250" i="16"/>
  <c r="AA250" i="16"/>
  <c r="AE250" i="16"/>
  <c r="J251" i="16"/>
  <c r="N251" i="16"/>
  <c r="R251" i="16"/>
  <c r="V251" i="16"/>
  <c r="Z251" i="16"/>
  <c r="AD251" i="16"/>
  <c r="I252" i="16"/>
  <c r="M252" i="16"/>
  <c r="Q252" i="16"/>
  <c r="U252" i="16"/>
  <c r="Y252" i="16"/>
  <c r="AC252" i="16"/>
  <c r="H253" i="16"/>
  <c r="L253" i="16"/>
  <c r="P253" i="16"/>
  <c r="T253" i="16"/>
  <c r="X253" i="16"/>
  <c r="AB253" i="16"/>
  <c r="G254" i="16"/>
  <c r="K254" i="16"/>
  <c r="O254" i="16"/>
  <c r="S254" i="16"/>
  <c r="W254" i="16"/>
  <c r="AA254" i="16"/>
  <c r="AE254" i="16"/>
  <c r="J255" i="16"/>
  <c r="N255" i="16"/>
  <c r="R255" i="16"/>
  <c r="V255" i="16"/>
  <c r="Z255" i="16"/>
  <c r="AD255" i="16"/>
  <c r="Z174" i="16"/>
  <c r="AD174" i="16"/>
  <c r="I175" i="16"/>
  <c r="M175" i="16"/>
  <c r="Q175" i="16"/>
  <c r="U175" i="16"/>
  <c r="Y175" i="16"/>
  <c r="AC175" i="16"/>
  <c r="H176" i="16"/>
  <c r="L176" i="16"/>
  <c r="P176" i="16"/>
  <c r="T176" i="16"/>
  <c r="X176" i="16"/>
  <c r="AB176" i="16"/>
  <c r="G177" i="16"/>
  <c r="K177" i="16"/>
  <c r="O177" i="16"/>
  <c r="S177" i="16"/>
  <c r="W177" i="16"/>
  <c r="AA177" i="16"/>
  <c r="AE177" i="16"/>
  <c r="J178" i="16"/>
  <c r="N178" i="16"/>
  <c r="R178" i="16"/>
  <c r="V178" i="16"/>
  <c r="Z178" i="16"/>
  <c r="AD178" i="16"/>
  <c r="I179" i="16"/>
  <c r="M179" i="16"/>
  <c r="Q179" i="16"/>
  <c r="U179" i="16"/>
  <c r="Y179" i="16"/>
  <c r="AC179" i="16"/>
  <c r="H180" i="16"/>
  <c r="L180" i="16"/>
  <c r="P180" i="16"/>
  <c r="T180" i="16"/>
  <c r="X180" i="16"/>
  <c r="AB180" i="16"/>
  <c r="G181" i="16"/>
  <c r="K181" i="16"/>
  <c r="O181" i="16"/>
  <c r="S181" i="16"/>
  <c r="W181" i="16"/>
  <c r="AA181" i="16"/>
  <c r="AE181" i="16"/>
  <c r="J182" i="16"/>
  <c r="N182" i="16"/>
  <c r="R182" i="16"/>
  <c r="V182" i="16"/>
  <c r="Z182" i="16"/>
  <c r="AD182" i="16"/>
  <c r="I183" i="16"/>
  <c r="M183" i="16"/>
  <c r="Q183" i="16"/>
  <c r="U183" i="16"/>
  <c r="Y183" i="16"/>
  <c r="AC183" i="16"/>
  <c r="H184" i="16"/>
  <c r="L184" i="16"/>
  <c r="P184" i="16"/>
  <c r="T184" i="16"/>
  <c r="X184" i="16"/>
  <c r="AB184" i="16"/>
  <c r="G185" i="16"/>
  <c r="K185" i="16"/>
  <c r="O185" i="16"/>
  <c r="S185" i="16"/>
  <c r="W185" i="16"/>
  <c r="AA185" i="16"/>
  <c r="AE185" i="16"/>
  <c r="J186" i="16"/>
  <c r="N186" i="16"/>
  <c r="R186" i="16"/>
  <c r="V186" i="16"/>
  <c r="Z186" i="16"/>
  <c r="AD186" i="16"/>
  <c r="I187" i="16"/>
  <c r="M187" i="16"/>
  <c r="Q187" i="16"/>
  <c r="U187" i="16"/>
  <c r="Y187" i="16"/>
  <c r="AC187" i="16"/>
  <c r="H188" i="16"/>
  <c r="L188" i="16"/>
  <c r="P188" i="16"/>
  <c r="T188" i="16"/>
  <c r="X188" i="16"/>
  <c r="AB188" i="16"/>
  <c r="G189" i="16"/>
  <c r="K189" i="16"/>
  <c r="O189" i="16"/>
  <c r="S189" i="16"/>
  <c r="W189" i="16"/>
  <c r="AA189" i="16"/>
  <c r="AE189" i="16"/>
  <c r="J190" i="16"/>
  <c r="N190" i="16"/>
  <c r="R190" i="16"/>
  <c r="V190" i="16"/>
  <c r="Z190" i="16"/>
  <c r="AD190" i="16"/>
  <c r="I191" i="16"/>
  <c r="M191" i="16"/>
  <c r="Q191" i="16"/>
  <c r="U191" i="16"/>
  <c r="Y191" i="16"/>
  <c r="AC191" i="16"/>
  <c r="H192" i="16"/>
  <c r="L192" i="16"/>
  <c r="P192" i="16"/>
  <c r="T192" i="16"/>
  <c r="X192" i="16"/>
  <c r="AB192" i="16"/>
  <c r="G193" i="16"/>
  <c r="K193" i="16"/>
  <c r="O193" i="16"/>
  <c r="S193" i="16"/>
  <c r="W193" i="16"/>
  <c r="AA193" i="16"/>
  <c r="AE193" i="16"/>
  <c r="J194" i="16"/>
  <c r="N194" i="16"/>
  <c r="R194" i="16"/>
  <c r="V194" i="16"/>
  <c r="Z194" i="16"/>
  <c r="AD194" i="16"/>
  <c r="I195" i="16"/>
  <c r="M195" i="16"/>
  <c r="Q195" i="16"/>
  <c r="U195" i="16"/>
  <c r="Y195" i="16"/>
  <c r="AC195" i="16"/>
  <c r="H196" i="16"/>
  <c r="L196" i="16"/>
  <c r="P196" i="16"/>
  <c r="T196" i="16"/>
  <c r="X196" i="16"/>
  <c r="AB196" i="16"/>
  <c r="G197" i="16"/>
  <c r="K197" i="16"/>
  <c r="O197" i="16"/>
  <c r="S197" i="16"/>
  <c r="W197" i="16"/>
  <c r="AA197" i="16"/>
  <c r="AE197" i="16"/>
  <c r="J198" i="16"/>
  <c r="N198" i="16"/>
  <c r="R198" i="16"/>
  <c r="V198" i="16"/>
  <c r="Z198" i="16"/>
  <c r="AD198" i="16"/>
  <c r="I199" i="16"/>
  <c r="M199" i="16"/>
  <c r="Q199" i="16"/>
  <c r="U199" i="16"/>
  <c r="Y199" i="16"/>
  <c r="AC199" i="16"/>
  <c r="H200" i="16"/>
  <c r="L200" i="16"/>
  <c r="P200" i="16"/>
  <c r="T200" i="16"/>
  <c r="X200" i="16"/>
  <c r="AB200" i="16"/>
  <c r="G201" i="16"/>
  <c r="K201" i="16"/>
  <c r="O201" i="16"/>
  <c r="S201" i="16"/>
  <c r="W201" i="16"/>
  <c r="AA201" i="16"/>
  <c r="AE201" i="16"/>
  <c r="J202" i="16"/>
  <c r="N202" i="16"/>
  <c r="R202" i="16"/>
  <c r="V202" i="16"/>
  <c r="Z202" i="16"/>
  <c r="AD202" i="16"/>
  <c r="I203" i="16"/>
  <c r="M203" i="16"/>
  <c r="Q203" i="16"/>
  <c r="U203" i="16"/>
  <c r="Y203" i="16"/>
  <c r="AC203" i="16"/>
  <c r="H204" i="16"/>
  <c r="L204" i="16"/>
  <c r="P204" i="16"/>
  <c r="T204" i="16"/>
  <c r="X204" i="16"/>
  <c r="AB204" i="16"/>
  <c r="G205" i="16"/>
  <c r="K205" i="16"/>
  <c r="O205" i="16"/>
  <c r="S205" i="16"/>
  <c r="W205" i="16"/>
  <c r="AA205" i="16"/>
  <c r="AE205" i="16"/>
  <c r="J206" i="16"/>
  <c r="N206" i="16"/>
  <c r="R206" i="16"/>
  <c r="V206" i="16"/>
  <c r="Z206" i="16"/>
  <c r="AD206" i="16"/>
  <c r="I207" i="16"/>
  <c r="M207" i="16"/>
  <c r="Q207" i="16"/>
  <c r="U207" i="16"/>
  <c r="Y207" i="16"/>
  <c r="AC207" i="16"/>
  <c r="H208" i="16"/>
  <c r="L208" i="16"/>
  <c r="P208" i="16"/>
  <c r="T208" i="16"/>
  <c r="X208" i="16"/>
  <c r="AB208" i="16"/>
  <c r="G209" i="16"/>
  <c r="K209" i="16"/>
  <c r="O209" i="16"/>
  <c r="S209" i="16"/>
  <c r="W209" i="16"/>
  <c r="AA209" i="16"/>
  <c r="AE209" i="16"/>
  <c r="J210" i="16"/>
  <c r="N210" i="16"/>
  <c r="R210" i="16"/>
  <c r="V210" i="16"/>
  <c r="Z210" i="16"/>
  <c r="AD210" i="16"/>
  <c r="I211" i="16"/>
  <c r="M211" i="16"/>
  <c r="Q211" i="16"/>
  <c r="U211" i="16"/>
  <c r="Y211" i="16"/>
  <c r="AC211" i="16"/>
  <c r="H212" i="16"/>
  <c r="L212" i="16"/>
  <c r="P212" i="16"/>
  <c r="T212" i="16"/>
  <c r="X212" i="16"/>
  <c r="AB212" i="16"/>
  <c r="G213" i="16"/>
  <c r="K213" i="16"/>
  <c r="O213" i="16"/>
  <c r="S213" i="16"/>
  <c r="W213" i="16"/>
  <c r="AA213" i="16"/>
  <c r="AE213" i="16"/>
  <c r="J214" i="16"/>
  <c r="N214" i="16"/>
  <c r="R214" i="16"/>
  <c r="V214" i="16"/>
  <c r="Z214" i="16"/>
  <c r="AD214" i="16"/>
  <c r="I215" i="16"/>
  <c r="M215" i="16"/>
  <c r="Q215" i="16"/>
  <c r="U215" i="16"/>
  <c r="Y215" i="16"/>
  <c r="AC215" i="16"/>
  <c r="H216" i="16"/>
  <c r="L216" i="16"/>
  <c r="P216" i="16"/>
  <c r="T216" i="16"/>
  <c r="X216" i="16"/>
  <c r="AB216" i="16"/>
  <c r="G217" i="16"/>
  <c r="K217" i="16"/>
  <c r="O217" i="16"/>
  <c r="S217" i="16"/>
  <c r="W217" i="16"/>
  <c r="AA217" i="16"/>
  <c r="AE217" i="16"/>
  <c r="J218" i="16"/>
  <c r="N218" i="16"/>
  <c r="R218" i="16"/>
  <c r="V218" i="16"/>
  <c r="Z218" i="16"/>
  <c r="AD218" i="16"/>
  <c r="I219" i="16"/>
  <c r="M219" i="16"/>
  <c r="Q219" i="16"/>
  <c r="U219" i="16"/>
  <c r="Y219" i="16"/>
  <c r="AC219" i="16"/>
  <c r="H220" i="16"/>
  <c r="L220" i="16"/>
  <c r="P220" i="16"/>
  <c r="T220" i="16"/>
  <c r="X220" i="16"/>
  <c r="AB220" i="16"/>
  <c r="G221" i="16"/>
  <c r="K221" i="16"/>
  <c r="O221" i="16"/>
  <c r="S221" i="16"/>
  <c r="W221" i="16"/>
  <c r="AA221" i="16"/>
  <c r="AE221" i="16"/>
  <c r="J222" i="16"/>
  <c r="N222" i="16"/>
  <c r="R222" i="16"/>
  <c r="V222" i="16"/>
  <c r="Z222" i="16"/>
  <c r="AD222" i="16"/>
  <c r="I223" i="16"/>
  <c r="M223" i="16"/>
  <c r="Q223" i="16"/>
  <c r="U223" i="16"/>
  <c r="Y223" i="16"/>
  <c r="AC223" i="16"/>
  <c r="H224" i="16"/>
  <c r="L224" i="16"/>
  <c r="P224" i="16"/>
  <c r="T224" i="16"/>
  <c r="X224" i="16"/>
  <c r="AB224" i="16"/>
  <c r="G225" i="16"/>
  <c r="K225" i="16"/>
  <c r="O225" i="16"/>
  <c r="S225" i="16"/>
  <c r="W225" i="16"/>
  <c r="AA225" i="16"/>
  <c r="AE225" i="16"/>
  <c r="J226" i="16"/>
  <c r="N226" i="16"/>
  <c r="R226" i="16"/>
  <c r="V226" i="16"/>
  <c r="Z226" i="16"/>
  <c r="AD226" i="16"/>
  <c r="I227" i="16"/>
  <c r="M227" i="16"/>
  <c r="Q227" i="16"/>
  <c r="U227" i="16"/>
  <c r="Y227" i="16"/>
  <c r="AC227" i="16"/>
  <c r="H228" i="16"/>
  <c r="L228" i="16"/>
  <c r="P228" i="16"/>
  <c r="T228" i="16"/>
  <c r="X228" i="16"/>
  <c r="AB228" i="16"/>
  <c r="G229" i="16"/>
  <c r="K229" i="16"/>
  <c r="O229" i="16"/>
  <c r="S229" i="16"/>
  <c r="W229" i="16"/>
  <c r="AA229" i="16"/>
  <c r="AE229" i="16"/>
  <c r="J230" i="16"/>
  <c r="N230" i="16"/>
  <c r="R230" i="16"/>
  <c r="V230" i="16"/>
  <c r="Z230" i="16"/>
  <c r="AD230" i="16"/>
  <c r="I231" i="16"/>
  <c r="M231" i="16"/>
  <c r="Q231" i="16"/>
  <c r="U231" i="16"/>
  <c r="Y231" i="16"/>
  <c r="AC231" i="16"/>
  <c r="H232" i="16"/>
  <c r="L232" i="16"/>
  <c r="P232" i="16"/>
  <c r="T232" i="16"/>
  <c r="X232" i="16"/>
  <c r="AB232" i="16"/>
  <c r="G233" i="16"/>
  <c r="K233" i="16"/>
  <c r="O233" i="16"/>
  <c r="S233" i="16"/>
  <c r="W233" i="16"/>
  <c r="AA233" i="16"/>
  <c r="AE233" i="16"/>
  <c r="J234" i="16"/>
  <c r="N234" i="16"/>
  <c r="R234" i="16"/>
  <c r="V234" i="16"/>
  <c r="Z234" i="16"/>
  <c r="AD234" i="16"/>
  <c r="I235" i="16"/>
  <c r="M235" i="16"/>
  <c r="Q235" i="16"/>
  <c r="U235" i="16"/>
  <c r="Y235" i="16"/>
  <c r="AC235" i="16"/>
  <c r="H236" i="16"/>
  <c r="L236" i="16"/>
  <c r="P236" i="16"/>
  <c r="T236" i="16"/>
  <c r="X236" i="16"/>
  <c r="AB236" i="16"/>
  <c r="G237" i="16"/>
  <c r="K237" i="16"/>
  <c r="O237" i="16"/>
  <c r="S237" i="16"/>
  <c r="W237" i="16"/>
  <c r="AA237" i="16"/>
  <c r="AE237" i="16"/>
  <c r="J238" i="16"/>
  <c r="N238" i="16"/>
  <c r="R238" i="16"/>
  <c r="V238" i="16"/>
  <c r="Z238" i="16"/>
  <c r="AD238" i="16"/>
  <c r="I239" i="16"/>
  <c r="M239" i="16"/>
  <c r="Q239" i="16"/>
  <c r="U239" i="16"/>
  <c r="Y239" i="16"/>
  <c r="AC239" i="16"/>
  <c r="H240" i="16"/>
  <c r="L240" i="16"/>
  <c r="P240" i="16"/>
  <c r="T240" i="16"/>
  <c r="X240" i="16"/>
  <c r="AB240" i="16"/>
  <c r="G241" i="16"/>
  <c r="K241" i="16"/>
  <c r="O241" i="16"/>
  <c r="S241" i="16"/>
  <c r="W241" i="16"/>
  <c r="AA241" i="16"/>
  <c r="AE241" i="16"/>
  <c r="J242" i="16"/>
  <c r="N242" i="16"/>
  <c r="R242" i="16"/>
  <c r="V242" i="16"/>
  <c r="Z242" i="16"/>
  <c r="AD242" i="16"/>
  <c r="I243" i="16"/>
  <c r="M243" i="16"/>
  <c r="Q243" i="16"/>
  <c r="U243" i="16"/>
  <c r="Y243" i="16"/>
  <c r="AC243" i="16"/>
  <c r="H244" i="16"/>
  <c r="L244" i="16"/>
  <c r="P244" i="16"/>
  <c r="T244" i="16"/>
  <c r="X244" i="16"/>
  <c r="AB244" i="16"/>
  <c r="G245" i="16"/>
  <c r="K245" i="16"/>
  <c r="O245" i="16"/>
  <c r="S245" i="16"/>
  <c r="W245" i="16"/>
  <c r="AA245" i="16"/>
  <c r="AE245" i="16"/>
  <c r="J246" i="16"/>
  <c r="N246" i="16"/>
  <c r="R246" i="16"/>
  <c r="V246" i="16"/>
  <c r="Z246" i="16"/>
  <c r="AD246" i="16"/>
  <c r="I247" i="16"/>
  <c r="M247" i="16"/>
  <c r="Q247" i="16"/>
  <c r="U247" i="16"/>
  <c r="Y247" i="16"/>
  <c r="AC247" i="16"/>
  <c r="H248" i="16"/>
  <c r="L248" i="16"/>
  <c r="P248" i="16"/>
  <c r="T248" i="16"/>
  <c r="X248" i="16"/>
  <c r="AB248" i="16"/>
  <c r="G249" i="16"/>
  <c r="K249" i="16"/>
  <c r="O249" i="16"/>
  <c r="S249" i="16"/>
  <c r="W249" i="16"/>
  <c r="AA249" i="16"/>
  <c r="AE249" i="16"/>
  <c r="J250" i="16"/>
  <c r="N250" i="16"/>
  <c r="R250" i="16"/>
  <c r="V250" i="16"/>
  <c r="Z250" i="16"/>
  <c r="AD250" i="16"/>
  <c r="I251" i="16"/>
  <c r="M251" i="16"/>
  <c r="Q251" i="16"/>
  <c r="U251" i="16"/>
  <c r="Y251" i="16"/>
  <c r="AC251" i="16"/>
  <c r="H252" i="16"/>
  <c r="L252" i="16"/>
  <c r="P252" i="16"/>
  <c r="T252" i="16"/>
  <c r="X252" i="16"/>
  <c r="AB252" i="16"/>
  <c r="G253" i="16"/>
  <c r="K253" i="16"/>
  <c r="O253" i="16"/>
  <c r="S253" i="16"/>
  <c r="W253" i="16"/>
  <c r="AA253" i="16"/>
  <c r="AE253" i="16"/>
  <c r="J254" i="16"/>
  <c r="N254" i="16"/>
  <c r="R254" i="16"/>
  <c r="V254" i="16"/>
  <c r="Z254" i="16"/>
  <c r="AD254" i="16"/>
  <c r="I255" i="16"/>
  <c r="M255" i="16"/>
  <c r="Q255" i="16"/>
  <c r="U255" i="16"/>
  <c r="Y255" i="16"/>
  <c r="AC255" i="16"/>
  <c r="W6" i="16"/>
  <c r="AA6" i="16"/>
  <c r="AE6" i="16"/>
  <c r="Z7" i="16"/>
  <c r="AD7" i="16"/>
  <c r="Y8" i="16"/>
  <c r="AC8" i="16"/>
  <c r="X9" i="16"/>
  <c r="AB9" i="16"/>
  <c r="W10" i="16"/>
  <c r="AA10" i="16"/>
  <c r="AE10" i="16"/>
  <c r="Z11" i="16"/>
  <c r="AD11" i="16"/>
  <c r="Y12" i="16"/>
  <c r="AC12" i="16"/>
  <c r="X13" i="16"/>
  <c r="AB13" i="16"/>
  <c r="W14" i="16"/>
  <c r="AA14" i="16"/>
  <c r="AE14" i="16"/>
  <c r="Z15" i="16"/>
  <c r="AD15" i="16"/>
  <c r="Z6" i="16"/>
  <c r="AD6" i="16"/>
  <c r="Y7" i="16"/>
  <c r="AC7" i="16"/>
  <c r="X8" i="16"/>
  <c r="AB8" i="16"/>
  <c r="W9" i="16"/>
  <c r="AA9" i="16"/>
  <c r="AE9" i="16"/>
  <c r="Z10" i="16"/>
  <c r="AD10" i="16"/>
  <c r="Y11" i="16"/>
  <c r="AC11" i="16"/>
  <c r="X12" i="16"/>
  <c r="AB12" i="16"/>
  <c r="W13" i="16"/>
  <c r="AA13" i="16"/>
  <c r="AE13" i="16"/>
  <c r="Z14" i="16"/>
  <c r="AD14" i="16"/>
  <c r="Y15" i="16"/>
  <c r="AC15" i="16"/>
  <c r="V6" i="16"/>
  <c r="V10" i="16"/>
  <c r="V14" i="16"/>
  <c r="V9" i="16"/>
  <c r="V13" i="16"/>
  <c r="J6" i="16"/>
  <c r="N6" i="16"/>
  <c r="R6" i="16"/>
  <c r="H7" i="16"/>
  <c r="L7" i="16"/>
  <c r="P7" i="16"/>
  <c r="T7" i="16"/>
  <c r="J8" i="16"/>
  <c r="N8" i="16"/>
  <c r="R8" i="16"/>
  <c r="H9" i="16"/>
  <c r="L9" i="16"/>
  <c r="P9" i="16"/>
  <c r="T9" i="16"/>
  <c r="J10" i="16"/>
  <c r="N10" i="16"/>
  <c r="R10" i="16"/>
  <c r="H11" i="16"/>
  <c r="L11" i="16"/>
  <c r="P11" i="16"/>
  <c r="T11" i="16"/>
  <c r="J12" i="16"/>
  <c r="N12" i="16"/>
  <c r="R12" i="16"/>
  <c r="H13" i="16"/>
  <c r="L13" i="16"/>
  <c r="P13" i="16"/>
  <c r="T13" i="16"/>
  <c r="J14" i="16"/>
  <c r="N14" i="16"/>
  <c r="R14" i="16"/>
  <c r="I6" i="16"/>
  <c r="M6" i="16"/>
  <c r="Q6" i="16"/>
  <c r="U6" i="16"/>
  <c r="K7" i="16"/>
  <c r="O7" i="16"/>
  <c r="S7" i="16"/>
  <c r="I8" i="16"/>
  <c r="M8" i="16"/>
  <c r="Q8" i="16"/>
  <c r="U8" i="16"/>
  <c r="K9" i="16"/>
  <c r="O9" i="16"/>
  <c r="S9" i="16"/>
  <c r="I10" i="16"/>
  <c r="M10" i="16"/>
  <c r="Q10" i="16"/>
  <c r="U10" i="16"/>
  <c r="K11" i="16"/>
  <c r="O11" i="16"/>
  <c r="S11" i="16"/>
  <c r="I12" i="16"/>
  <c r="M12" i="16"/>
  <c r="Q12" i="16"/>
  <c r="U12" i="16"/>
  <c r="K13" i="16"/>
  <c r="O13" i="16"/>
  <c r="S13" i="16"/>
  <c r="S12" i="16"/>
  <c r="M13" i="16"/>
  <c r="U13" i="16"/>
  <c r="K14" i="16"/>
  <c r="O14" i="16"/>
  <c r="S14" i="16"/>
  <c r="G6" i="16"/>
  <c r="G10" i="16"/>
  <c r="G14" i="16"/>
  <c r="G9" i="16"/>
  <c r="G13" i="16"/>
  <c r="Y16" i="16"/>
  <c r="AC16" i="16"/>
  <c r="X17" i="16"/>
  <c r="AB17" i="16"/>
  <c r="W18" i="16"/>
  <c r="AA18" i="16"/>
  <c r="AE18" i="16"/>
  <c r="Z19" i="16"/>
  <c r="AD19" i="16"/>
  <c r="Y20" i="16"/>
  <c r="AC20" i="16"/>
  <c r="X21" i="16"/>
  <c r="AB21" i="16"/>
  <c r="W22" i="16"/>
  <c r="AA22" i="16"/>
  <c r="AE22" i="16"/>
  <c r="Z23" i="16"/>
  <c r="AD23" i="16"/>
  <c r="Y24" i="16"/>
  <c r="AC24" i="16"/>
  <c r="X25" i="16"/>
  <c r="AB25" i="16"/>
  <c r="W26" i="16"/>
  <c r="AA26" i="16"/>
  <c r="AE26" i="16"/>
  <c r="Z27" i="16"/>
  <c r="AD27" i="16"/>
  <c r="Y28" i="16"/>
  <c r="AC28" i="16"/>
  <c r="X29" i="16"/>
  <c r="AB29" i="16"/>
  <c r="W30" i="16"/>
  <c r="AA30" i="16"/>
  <c r="AE30" i="16"/>
  <c r="Z31" i="16"/>
  <c r="AD31" i="16"/>
  <c r="Y32" i="16"/>
  <c r="AC32" i="16"/>
  <c r="X33" i="16"/>
  <c r="AB33" i="16"/>
  <c r="W34" i="16"/>
  <c r="AA34" i="16"/>
  <c r="AE34" i="16"/>
  <c r="Z35" i="16"/>
  <c r="AD35" i="16"/>
  <c r="Y36" i="16"/>
  <c r="AC36" i="16"/>
  <c r="X37" i="16"/>
  <c r="AB37" i="16"/>
  <c r="W38" i="16"/>
  <c r="AA38" i="16"/>
  <c r="AE38" i="16"/>
  <c r="Z39" i="16"/>
  <c r="AD39" i="16"/>
  <c r="Z16" i="16"/>
  <c r="AD16" i="16"/>
  <c r="Y17" i="16"/>
  <c r="AC17" i="16"/>
  <c r="X18" i="16"/>
  <c r="AB18" i="16"/>
  <c r="W19" i="16"/>
  <c r="AA19" i="16"/>
  <c r="AE19" i="16"/>
  <c r="Z20" i="16"/>
  <c r="AD20" i="16"/>
  <c r="Y21" i="16"/>
  <c r="AC21" i="16"/>
  <c r="X22" i="16"/>
  <c r="AB22" i="16"/>
  <c r="W23" i="16"/>
  <c r="AA23" i="16"/>
  <c r="AE23" i="16"/>
  <c r="Z24" i="16"/>
  <c r="AD24" i="16"/>
  <c r="Y25" i="16"/>
  <c r="AC25" i="16"/>
  <c r="X26" i="16"/>
  <c r="AB26" i="16"/>
  <c r="W27" i="16"/>
  <c r="AA27" i="16"/>
  <c r="AE27" i="16"/>
  <c r="Z28" i="16"/>
  <c r="AD28" i="16"/>
  <c r="Y29" i="16"/>
  <c r="AC29" i="16"/>
  <c r="X30" i="16"/>
  <c r="AB30" i="16"/>
  <c r="W31" i="16"/>
  <c r="AA31" i="16"/>
  <c r="AE31" i="16"/>
  <c r="Z32" i="16"/>
  <c r="AD32" i="16"/>
  <c r="Y33" i="16"/>
  <c r="AC33" i="16"/>
  <c r="X34" i="16"/>
  <c r="AB34" i="16"/>
  <c r="W35" i="16"/>
  <c r="AA35" i="16"/>
  <c r="AE35" i="16"/>
  <c r="Z36" i="16"/>
  <c r="AD36" i="16"/>
  <c r="Y37" i="16"/>
  <c r="AC37" i="16"/>
  <c r="X38" i="16"/>
  <c r="AB38" i="16"/>
  <c r="W39" i="16"/>
  <c r="AA39" i="16"/>
  <c r="AE39" i="16"/>
  <c r="V17" i="16"/>
  <c r="V21" i="16"/>
  <c r="V25" i="16"/>
  <c r="V29" i="16"/>
  <c r="V33" i="16"/>
  <c r="V37" i="16"/>
  <c r="V16" i="16"/>
  <c r="V20" i="16"/>
  <c r="V24" i="16"/>
  <c r="V28" i="16"/>
  <c r="V32" i="16"/>
  <c r="V36" i="16"/>
  <c r="U39" i="16"/>
  <c r="J15" i="16"/>
  <c r="N15" i="16"/>
  <c r="R15" i="16"/>
  <c r="H16" i="16"/>
  <c r="L16" i="16"/>
  <c r="P16" i="16"/>
  <c r="T16" i="16"/>
  <c r="J17" i="16"/>
  <c r="N17" i="16"/>
  <c r="R17" i="16"/>
  <c r="H18" i="16"/>
  <c r="L18" i="16"/>
  <c r="P18" i="16"/>
  <c r="T18" i="16"/>
  <c r="J19" i="16"/>
  <c r="N19" i="16"/>
  <c r="R19" i="16"/>
  <c r="H20" i="16"/>
  <c r="L20" i="16"/>
  <c r="P20" i="16"/>
  <c r="T20" i="16"/>
  <c r="J21" i="16"/>
  <c r="N21" i="16"/>
  <c r="R21" i="16"/>
  <c r="H22" i="16"/>
  <c r="L22" i="16"/>
  <c r="P22" i="16"/>
  <c r="T22" i="16"/>
  <c r="J23" i="16"/>
  <c r="N23" i="16"/>
  <c r="R23" i="16"/>
  <c r="H24" i="16"/>
  <c r="L24" i="16"/>
  <c r="P24" i="16"/>
  <c r="T24" i="16"/>
  <c r="J25" i="16"/>
  <c r="N25" i="16"/>
  <c r="R25" i="16"/>
  <c r="H26" i="16"/>
  <c r="L26" i="16"/>
  <c r="P26" i="16"/>
  <c r="T26" i="16"/>
  <c r="J27" i="16"/>
  <c r="N27" i="16"/>
  <c r="R27" i="16"/>
  <c r="H28" i="16"/>
  <c r="L28" i="16"/>
  <c r="P28" i="16"/>
  <c r="T28" i="16"/>
  <c r="J29" i="16"/>
  <c r="N29" i="16"/>
  <c r="R29" i="16"/>
  <c r="H30" i="16"/>
  <c r="L30" i="16"/>
  <c r="P30" i="16"/>
  <c r="T30" i="16"/>
  <c r="J31" i="16"/>
  <c r="N31" i="16"/>
  <c r="R31" i="16"/>
  <c r="H32" i="16"/>
  <c r="K15" i="16"/>
  <c r="O15" i="16"/>
  <c r="S15" i="16"/>
  <c r="I16" i="16"/>
  <c r="M16" i="16"/>
  <c r="Q16" i="16"/>
  <c r="U16" i="16"/>
  <c r="K17" i="16"/>
  <c r="O17" i="16"/>
  <c r="S17" i="16"/>
  <c r="I18" i="16"/>
  <c r="M18" i="16"/>
  <c r="Q18" i="16"/>
  <c r="U18" i="16"/>
  <c r="K19" i="16"/>
  <c r="O19" i="16"/>
  <c r="S19" i="16"/>
  <c r="I20" i="16"/>
  <c r="M20" i="16"/>
  <c r="Q20" i="16"/>
  <c r="U20" i="16"/>
  <c r="K21" i="16"/>
  <c r="O21" i="16"/>
  <c r="S21" i="16"/>
  <c r="I22" i="16"/>
  <c r="M22" i="16"/>
  <c r="Q22" i="16"/>
  <c r="U22" i="16"/>
  <c r="K23" i="16"/>
  <c r="O23" i="16"/>
  <c r="S23" i="16"/>
  <c r="I24" i="16"/>
  <c r="M24" i="16"/>
  <c r="Q24" i="16"/>
  <c r="U24" i="16"/>
  <c r="K25" i="16"/>
  <c r="O25" i="16"/>
  <c r="S25" i="16"/>
  <c r="I26" i="16"/>
  <c r="M26" i="16"/>
  <c r="Q26" i="16"/>
  <c r="U26" i="16"/>
  <c r="K27" i="16"/>
  <c r="O27" i="16"/>
  <c r="S27" i="16"/>
  <c r="I28" i="16"/>
  <c r="M28" i="16"/>
  <c r="Q28" i="16"/>
  <c r="U28" i="16"/>
  <c r="K29" i="16"/>
  <c r="O29" i="16"/>
  <c r="S29" i="16"/>
  <c r="I30" i="16"/>
  <c r="M30" i="16"/>
  <c r="Q30" i="16"/>
  <c r="U30" i="16"/>
  <c r="K31" i="16"/>
  <c r="O31" i="16"/>
  <c r="S31" i="16"/>
  <c r="I32" i="16"/>
  <c r="L32" i="16"/>
  <c r="P32" i="16"/>
  <c r="T32" i="16"/>
  <c r="J33" i="16"/>
  <c r="N33" i="16"/>
  <c r="R33" i="16"/>
  <c r="H34" i="16"/>
  <c r="L34" i="16"/>
  <c r="P34" i="16"/>
  <c r="T34" i="16"/>
  <c r="J35" i="16"/>
  <c r="N35" i="16"/>
  <c r="R35" i="16"/>
  <c r="H36" i="16"/>
  <c r="L36" i="16"/>
  <c r="P36" i="16"/>
  <c r="T36" i="16"/>
  <c r="J37" i="16"/>
  <c r="N37" i="16"/>
  <c r="R37" i="16"/>
  <c r="H38" i="16"/>
  <c r="L38" i="16"/>
  <c r="P38" i="16"/>
  <c r="T38" i="16"/>
  <c r="J39" i="16"/>
  <c r="N39" i="16"/>
  <c r="R39" i="16"/>
  <c r="K32" i="16"/>
  <c r="O32" i="16"/>
  <c r="S32" i="16"/>
  <c r="I33" i="16"/>
  <c r="M33" i="16"/>
  <c r="Q33" i="16"/>
  <c r="U33" i="16"/>
  <c r="K34" i="16"/>
  <c r="O34" i="16"/>
  <c r="S34" i="16"/>
  <c r="I35" i="16"/>
  <c r="M35" i="16"/>
  <c r="Q35" i="16"/>
  <c r="U35" i="16"/>
  <c r="K36" i="16"/>
  <c r="O36" i="16"/>
  <c r="S36" i="16"/>
  <c r="I37" i="16"/>
  <c r="M37" i="16"/>
  <c r="Q37" i="16"/>
  <c r="U37" i="16"/>
  <c r="K38" i="16"/>
  <c r="O38" i="16"/>
  <c r="S38" i="16"/>
  <c r="I39" i="16"/>
  <c r="M39" i="16"/>
  <c r="Q39" i="16"/>
  <c r="G15" i="16"/>
  <c r="G19" i="16"/>
  <c r="G23" i="16"/>
  <c r="G27" i="16"/>
  <c r="G31" i="16"/>
  <c r="G35" i="16"/>
  <c r="G39" i="16"/>
  <c r="G18" i="16"/>
  <c r="G22" i="16"/>
  <c r="G26" i="16"/>
  <c r="G30" i="16"/>
  <c r="G34" i="16"/>
  <c r="G38" i="16"/>
  <c r="I13" i="16"/>
  <c r="Q13" i="16"/>
  <c r="I14" i="16"/>
  <c r="M14" i="16"/>
  <c r="Q14" i="16"/>
  <c r="U14" i="16"/>
  <c r="G8" i="16"/>
  <c r="G12" i="16"/>
  <c r="G7" i="16"/>
  <c r="G11" i="16"/>
  <c r="W16" i="16"/>
  <c r="AA16" i="16"/>
  <c r="AE16" i="16"/>
  <c r="Z17" i="16"/>
  <c r="AD17" i="16"/>
  <c r="Y18" i="16"/>
  <c r="AC18" i="16"/>
  <c r="X19" i="16"/>
  <c r="AB19" i="16"/>
  <c r="W20" i="16"/>
  <c r="AA20" i="16"/>
  <c r="AE20" i="16"/>
  <c r="Z21" i="16"/>
  <c r="AD21" i="16"/>
  <c r="Y22" i="16"/>
  <c r="AC22" i="16"/>
  <c r="X23" i="16"/>
  <c r="AB23" i="16"/>
  <c r="W24" i="16"/>
  <c r="AA24" i="16"/>
  <c r="AE24" i="16"/>
  <c r="Z25" i="16"/>
  <c r="AD25" i="16"/>
  <c r="Y26" i="16"/>
  <c r="AC26" i="16"/>
  <c r="X27" i="16"/>
  <c r="AB27" i="16"/>
  <c r="W28" i="16"/>
  <c r="AA28" i="16"/>
  <c r="AE28" i="16"/>
  <c r="Z29" i="16"/>
  <c r="AD29" i="16"/>
  <c r="Y30" i="16"/>
  <c r="AC30" i="16"/>
  <c r="X31" i="16"/>
  <c r="AB31" i="16"/>
  <c r="W32" i="16"/>
  <c r="AA32" i="16"/>
  <c r="AE32" i="16"/>
  <c r="Z33" i="16"/>
  <c r="AD33" i="16"/>
  <c r="Y34" i="16"/>
  <c r="AC34" i="16"/>
  <c r="X35" i="16"/>
  <c r="AB35" i="16"/>
  <c r="W36" i="16"/>
  <c r="AA36" i="16"/>
  <c r="AE36" i="16"/>
  <c r="Z37" i="16"/>
  <c r="AD37" i="16"/>
  <c r="Y38" i="16"/>
  <c r="AC38" i="16"/>
  <c r="X39" i="16"/>
  <c r="AB39" i="16"/>
  <c r="X16" i="16"/>
  <c r="AB16" i="16"/>
  <c r="W17" i="16"/>
  <c r="AA17" i="16"/>
  <c r="AE17" i="16"/>
  <c r="Z18" i="16"/>
  <c r="AD18" i="16"/>
  <c r="Y19" i="16"/>
  <c r="AC19" i="16"/>
  <c r="X20" i="16"/>
  <c r="AB20" i="16"/>
  <c r="W21" i="16"/>
  <c r="AA21" i="16"/>
  <c r="AE21" i="16"/>
  <c r="Z22" i="16"/>
  <c r="AD22" i="16"/>
  <c r="Y23" i="16"/>
  <c r="AC23" i="16"/>
  <c r="X24" i="16"/>
  <c r="AB24" i="16"/>
  <c r="W25" i="16"/>
  <c r="AA25" i="16"/>
  <c r="AE25" i="16"/>
  <c r="Z26" i="16"/>
  <c r="AD26" i="16"/>
  <c r="Y27" i="16"/>
  <c r="AC27" i="16"/>
  <c r="X28" i="16"/>
  <c r="AB28" i="16"/>
  <c r="W29" i="16"/>
  <c r="AA29" i="16"/>
  <c r="AE29" i="16"/>
  <c r="Z30" i="16"/>
  <c r="AD30" i="16"/>
  <c r="Y31" i="16"/>
  <c r="AC31" i="16"/>
  <c r="X32" i="16"/>
  <c r="AB32" i="16"/>
  <c r="W33" i="16"/>
  <c r="AA33" i="16"/>
  <c r="AE33" i="16"/>
  <c r="Z34" i="16"/>
  <c r="AD34" i="16"/>
  <c r="Y35" i="16"/>
  <c r="AC35" i="16"/>
  <c r="X36" i="16"/>
  <c r="AB36" i="16"/>
  <c r="W37" i="16"/>
  <c r="AA37" i="16"/>
  <c r="AE37" i="16"/>
  <c r="Z38" i="16"/>
  <c r="AD38" i="16"/>
  <c r="Y39" i="16"/>
  <c r="AC39" i="16"/>
  <c r="V15" i="16"/>
  <c r="V19" i="16"/>
  <c r="V23" i="16"/>
  <c r="V27" i="16"/>
  <c r="V31" i="16"/>
  <c r="V35" i="16"/>
  <c r="V39" i="16"/>
  <c r="V18" i="16"/>
  <c r="V22" i="16"/>
  <c r="V26" i="16"/>
  <c r="V30" i="16"/>
  <c r="V34" i="16"/>
  <c r="V38" i="16"/>
  <c r="H15" i="16"/>
  <c r="L15" i="16"/>
  <c r="P15" i="16"/>
  <c r="T15" i="16"/>
  <c r="J16" i="16"/>
  <c r="N16" i="16"/>
  <c r="R16" i="16"/>
  <c r="H17" i="16"/>
  <c r="L17" i="16"/>
  <c r="P17" i="16"/>
  <c r="T17" i="16"/>
  <c r="J18" i="16"/>
  <c r="N18" i="16"/>
  <c r="R18" i="16"/>
  <c r="H19" i="16"/>
  <c r="L19" i="16"/>
  <c r="P19" i="16"/>
  <c r="T19" i="16"/>
  <c r="J20" i="16"/>
  <c r="N20" i="16"/>
  <c r="R20" i="16"/>
  <c r="H21" i="16"/>
  <c r="L21" i="16"/>
  <c r="P21" i="16"/>
  <c r="T21" i="16"/>
  <c r="J22" i="16"/>
  <c r="N22" i="16"/>
  <c r="R22" i="16"/>
  <c r="H23" i="16"/>
  <c r="L23" i="16"/>
  <c r="P23" i="16"/>
  <c r="T23" i="16"/>
  <c r="J24" i="16"/>
  <c r="N24" i="16"/>
  <c r="R24" i="16"/>
  <c r="H25" i="16"/>
  <c r="L25" i="16"/>
  <c r="P25" i="16"/>
  <c r="T25" i="16"/>
  <c r="J26" i="16"/>
  <c r="N26" i="16"/>
  <c r="R26" i="16"/>
  <c r="H27" i="16"/>
  <c r="L27" i="16"/>
  <c r="P27" i="16"/>
  <c r="T27" i="16"/>
  <c r="J28" i="16"/>
  <c r="N28" i="16"/>
  <c r="R28" i="16"/>
  <c r="H29" i="16"/>
  <c r="L29" i="16"/>
  <c r="P29" i="16"/>
  <c r="T29" i="16"/>
  <c r="J30" i="16"/>
  <c r="N30" i="16"/>
  <c r="R30" i="16"/>
  <c r="H31" i="16"/>
  <c r="L31" i="16"/>
  <c r="P31" i="16"/>
  <c r="T31" i="16"/>
  <c r="I15" i="16"/>
  <c r="M15" i="16"/>
  <c r="Q15" i="16"/>
  <c r="U15" i="16"/>
  <c r="K16" i="16"/>
  <c r="O16" i="16"/>
  <c r="S16" i="16"/>
  <c r="I17" i="16"/>
  <c r="M17" i="16"/>
  <c r="Q17" i="16"/>
  <c r="U17" i="16"/>
  <c r="K18" i="16"/>
  <c r="O18" i="16"/>
  <c r="S18" i="16"/>
  <c r="I19" i="16"/>
  <c r="M19" i="16"/>
  <c r="Q19" i="16"/>
  <c r="U19" i="16"/>
  <c r="K20" i="16"/>
  <c r="O20" i="16"/>
  <c r="S20" i="16"/>
  <c r="I21" i="16"/>
  <c r="M21" i="16"/>
  <c r="Q21" i="16"/>
  <c r="U21" i="16"/>
  <c r="K22" i="16"/>
  <c r="O22" i="16"/>
  <c r="S22" i="16"/>
  <c r="I23" i="16"/>
  <c r="M23" i="16"/>
  <c r="Q23" i="16"/>
  <c r="U23" i="16"/>
  <c r="K24" i="16"/>
  <c r="O24" i="16"/>
  <c r="S24" i="16"/>
  <c r="I25" i="16"/>
  <c r="M25" i="16"/>
  <c r="Q25" i="16"/>
  <c r="U25" i="16"/>
  <c r="K26" i="16"/>
  <c r="O26" i="16"/>
  <c r="S26" i="16"/>
  <c r="I27" i="16"/>
  <c r="M27" i="16"/>
  <c r="Q27" i="16"/>
  <c r="U27" i="16"/>
  <c r="K28" i="16"/>
  <c r="O28" i="16"/>
  <c r="S28" i="16"/>
  <c r="I29" i="16"/>
  <c r="M29" i="16"/>
  <c r="Q29" i="16"/>
  <c r="U29" i="16"/>
  <c r="K30" i="16"/>
  <c r="O30" i="16"/>
  <c r="S30" i="16"/>
  <c r="I31" i="16"/>
  <c r="M31" i="16"/>
  <c r="Q31" i="16"/>
  <c r="U31" i="16"/>
  <c r="J32" i="16"/>
  <c r="N32" i="16"/>
  <c r="R32" i="16"/>
  <c r="H33" i="16"/>
  <c r="L33" i="16"/>
  <c r="P33" i="16"/>
  <c r="T33" i="16"/>
  <c r="J34" i="16"/>
  <c r="N34" i="16"/>
  <c r="R34" i="16"/>
  <c r="H35" i="16"/>
  <c r="L35" i="16"/>
  <c r="P35" i="16"/>
  <c r="T35" i="16"/>
  <c r="J36" i="16"/>
  <c r="N36" i="16"/>
  <c r="R36" i="16"/>
  <c r="H37" i="16"/>
  <c r="L37" i="16"/>
  <c r="P37" i="16"/>
  <c r="T37" i="16"/>
  <c r="J38" i="16"/>
  <c r="N38" i="16"/>
  <c r="R38" i="16"/>
  <c r="H39" i="16"/>
  <c r="L39" i="16"/>
  <c r="P39" i="16"/>
  <c r="T39" i="16"/>
  <c r="M32" i="16"/>
  <c r="Q32" i="16"/>
  <c r="U32" i="16"/>
  <c r="K33" i="16"/>
  <c r="O33" i="16"/>
  <c r="S33" i="16"/>
  <c r="I34" i="16"/>
  <c r="M34" i="16"/>
  <c r="Q34" i="16"/>
  <c r="U34" i="16"/>
  <c r="K35" i="16"/>
  <c r="O35" i="16"/>
  <c r="S35" i="16"/>
  <c r="I36" i="16"/>
  <c r="M36" i="16"/>
  <c r="Q36" i="16"/>
  <c r="U36" i="16"/>
  <c r="K37" i="16"/>
  <c r="O37" i="16"/>
  <c r="S37" i="16"/>
  <c r="I38" i="16"/>
  <c r="M38" i="16"/>
  <c r="Q38" i="16"/>
  <c r="U38" i="16"/>
  <c r="K39" i="16"/>
  <c r="O39" i="16"/>
  <c r="S39" i="16"/>
  <c r="G17" i="16"/>
  <c r="G21" i="16"/>
  <c r="G25" i="16"/>
  <c r="G29" i="16"/>
  <c r="G33" i="16"/>
  <c r="G37" i="16"/>
  <c r="G16" i="16"/>
  <c r="G20" i="16"/>
  <c r="G24" i="16"/>
  <c r="G28" i="16"/>
  <c r="G32" i="16"/>
  <c r="G36" i="16"/>
  <c r="G41" i="3"/>
  <c r="C11" i="12"/>
  <c r="C27" i="12"/>
  <c r="C43" i="12"/>
  <c r="C59" i="12"/>
  <c r="C75" i="12"/>
  <c r="C91" i="12"/>
  <c r="C107" i="12"/>
  <c r="C123" i="12"/>
  <c r="C139" i="12"/>
  <c r="C155" i="12"/>
  <c r="C171" i="12"/>
  <c r="C18" i="12"/>
  <c r="C34" i="12"/>
  <c r="C50" i="12"/>
  <c r="C66" i="12"/>
  <c r="C82" i="12"/>
  <c r="C98" i="12"/>
  <c r="C114" i="12"/>
  <c r="C130" i="12"/>
  <c r="C146" i="12"/>
  <c r="C5" i="12"/>
  <c r="C21" i="12"/>
  <c r="C37" i="12"/>
  <c r="C53" i="12"/>
  <c r="C69" i="12"/>
  <c r="C85" i="12"/>
  <c r="C101" i="12"/>
  <c r="C117" i="12"/>
  <c r="C133" i="12"/>
  <c r="C149" i="12"/>
  <c r="C165" i="12"/>
  <c r="C12" i="12"/>
  <c r="C28" i="12"/>
  <c r="C44" i="12"/>
  <c r="C60" i="12"/>
  <c r="C76" i="12"/>
  <c r="C92" i="12"/>
  <c r="C108" i="12"/>
  <c r="C124" i="12"/>
  <c r="C140" i="12"/>
  <c r="C156" i="12"/>
  <c r="C158" i="12"/>
  <c r="C174" i="12"/>
  <c r="C168" i="12"/>
  <c r="C7" i="12"/>
  <c r="C23" i="12"/>
  <c r="C39" i="12"/>
  <c r="C55" i="12"/>
  <c r="C71" i="12"/>
  <c r="C87" i="12"/>
  <c r="C103" i="12"/>
  <c r="C119" i="12"/>
  <c r="C135" i="12"/>
  <c r="C151" i="12"/>
  <c r="C167" i="12"/>
  <c r="C14" i="12"/>
  <c r="C30" i="12"/>
  <c r="C46" i="12"/>
  <c r="C62" i="12"/>
  <c r="C78" i="12"/>
  <c r="C94" i="12"/>
  <c r="C110" i="12"/>
  <c r="C126" i="12"/>
  <c r="C142" i="12"/>
  <c r="C17" i="12"/>
  <c r="C33" i="12"/>
  <c r="C49" i="12"/>
  <c r="C65" i="12"/>
  <c r="C81" i="12"/>
  <c r="C97" i="12"/>
  <c r="C113" i="12"/>
  <c r="C129" i="12"/>
  <c r="C145" i="12"/>
  <c r="C161" i="12"/>
  <c r="C8" i="12"/>
  <c r="C24" i="12"/>
  <c r="C40" i="12"/>
  <c r="C56" i="12"/>
  <c r="C72" i="12"/>
  <c r="C88" i="12"/>
  <c r="C104" i="12"/>
  <c r="C120" i="12"/>
  <c r="C136" i="12"/>
  <c r="C152" i="12"/>
  <c r="C150" i="12"/>
  <c r="C170" i="12"/>
  <c r="C164" i="12"/>
  <c r="E10" i="3"/>
  <c r="G52" i="3"/>
  <c r="G33" i="3"/>
  <c r="G64" i="3"/>
  <c r="E21" i="3"/>
  <c r="G65" i="3"/>
  <c r="G111" i="3"/>
  <c r="E17" i="3"/>
  <c r="G118" i="3"/>
  <c r="E23" i="3"/>
  <c r="G109" i="3"/>
  <c r="G56" i="3"/>
  <c r="G94" i="3"/>
  <c r="G73" i="3"/>
  <c r="G50" i="3"/>
  <c r="E25" i="3"/>
  <c r="G84" i="3"/>
  <c r="E20" i="3"/>
  <c r="G77" i="3"/>
  <c r="G40" i="3"/>
  <c r="E16" i="3"/>
  <c r="G32" i="3"/>
  <c r="G80" i="3"/>
  <c r="G99" i="3"/>
  <c r="G95" i="3"/>
  <c r="G45" i="3"/>
  <c r="G98" i="3"/>
  <c r="E19" i="3"/>
  <c r="E24" i="3"/>
  <c r="G61" i="3"/>
  <c r="C19" i="12"/>
  <c r="C35" i="12"/>
  <c r="C51" i="12"/>
  <c r="C67" i="12"/>
  <c r="C83" i="12"/>
  <c r="C99" i="12"/>
  <c r="C115" i="12"/>
  <c r="C131" i="12"/>
  <c r="C147" i="12"/>
  <c r="C163" i="12"/>
  <c r="C10" i="12"/>
  <c r="C26" i="12"/>
  <c r="C42" i="12"/>
  <c r="C58" i="12"/>
  <c r="C74" i="12"/>
  <c r="C90" i="12"/>
  <c r="C106" i="12"/>
  <c r="C122" i="12"/>
  <c r="C138" i="12"/>
  <c r="C95" i="2"/>
  <c r="C13" i="12"/>
  <c r="C29" i="12"/>
  <c r="C45" i="12"/>
  <c r="C61" i="12"/>
  <c r="C77" i="12"/>
  <c r="C93" i="12"/>
  <c r="C109" i="12"/>
  <c r="C125" i="12"/>
  <c r="C141" i="12"/>
  <c r="C157" i="12"/>
  <c r="C173" i="12"/>
  <c r="C20" i="12"/>
  <c r="C36" i="12"/>
  <c r="C52" i="12"/>
  <c r="C68" i="12"/>
  <c r="C84" i="12"/>
  <c r="C100" i="12"/>
  <c r="C116" i="12"/>
  <c r="C132" i="12"/>
  <c r="C148" i="12"/>
  <c r="C166" i="12"/>
  <c r="C160" i="12"/>
  <c r="C4" i="12"/>
  <c r="C15" i="12"/>
  <c r="C31" i="12"/>
  <c r="C47" i="12"/>
  <c r="C63" i="12"/>
  <c r="C79" i="12"/>
  <c r="C95" i="12"/>
  <c r="C111" i="12"/>
  <c r="C127" i="12"/>
  <c r="C143" i="12"/>
  <c r="C159" i="12"/>
  <c r="C6" i="12"/>
  <c r="C22" i="12"/>
  <c r="C38" i="12"/>
  <c r="C54" i="12"/>
  <c r="C70" i="12"/>
  <c r="C86" i="12"/>
  <c r="C102" i="12"/>
  <c r="C118" i="12"/>
  <c r="C134" i="12"/>
  <c r="C9" i="12"/>
  <c r="C25" i="12"/>
  <c r="C41" i="12"/>
  <c r="C57" i="12"/>
  <c r="C73" i="12"/>
  <c r="C89" i="12"/>
  <c r="C105" i="12"/>
  <c r="C121" i="12"/>
  <c r="C137" i="12"/>
  <c r="C153" i="12"/>
  <c r="C169" i="12"/>
  <c r="C16" i="12"/>
  <c r="C32" i="12"/>
  <c r="C48" i="12"/>
  <c r="C64" i="12"/>
  <c r="C80" i="12"/>
  <c r="C96" i="12"/>
  <c r="C112" i="12"/>
  <c r="C128" i="12"/>
  <c r="C144" i="12"/>
  <c r="C162" i="12"/>
  <c r="C154" i="12"/>
  <c r="C172" i="12"/>
  <c r="E12" i="3"/>
  <c r="G68" i="3"/>
  <c r="G57" i="3"/>
  <c r="G37" i="3"/>
  <c r="E15" i="3"/>
  <c r="G39" i="3"/>
  <c r="G66" i="3"/>
  <c r="E26" i="3"/>
  <c r="G105" i="3"/>
  <c r="E22" i="3"/>
  <c r="G76" i="3"/>
  <c r="G34" i="3"/>
  <c r="E13" i="3"/>
  <c r="G44" i="3"/>
  <c r="G102" i="3"/>
  <c r="G46" i="3"/>
  <c r="G83" i="3"/>
  <c r="G91" i="3"/>
  <c r="G49" i="3"/>
  <c r="G51" i="3"/>
  <c r="G38" i="3"/>
  <c r="G112" i="3"/>
  <c r="E11" i="3"/>
  <c r="G107" i="3"/>
  <c r="G67" i="3"/>
  <c r="E28" i="3"/>
  <c r="G110" i="3"/>
  <c r="G58" i="3"/>
  <c r="E14" i="3"/>
  <c r="E18" i="3"/>
  <c r="G55" i="3"/>
  <c r="M23" i="15"/>
  <c r="C75" i="2"/>
  <c r="M20" i="15"/>
  <c r="N20" i="15"/>
  <c r="S19" i="15"/>
  <c r="M13" i="15"/>
  <c r="M11" i="15"/>
  <c r="N13" i="15"/>
  <c r="N9" i="15"/>
  <c r="S9" i="15"/>
  <c r="N11" i="15"/>
  <c r="C19" i="2"/>
  <c r="C28" i="2"/>
  <c r="C40" i="2"/>
  <c r="C61" i="2"/>
  <c r="C99" i="2"/>
  <c r="H7" i="2"/>
  <c r="C35" i="2"/>
  <c r="C65" i="2" s="1"/>
  <c r="C98" i="2"/>
  <c r="C85" i="2"/>
  <c r="C14" i="2"/>
  <c r="C44" i="2"/>
  <c r="N24" i="15" l="1"/>
  <c r="N12" i="15"/>
  <c r="N14" i="15"/>
  <c r="N15" i="15" s="1"/>
  <c r="T15" i="15" s="1"/>
  <c r="V15" i="15" s="1"/>
  <c r="N21" i="15"/>
  <c r="N10" i="15"/>
  <c r="N19" i="15"/>
  <c r="S23" i="15"/>
  <c r="S11" i="15"/>
  <c r="S13" i="15"/>
  <c r="S20" i="15"/>
  <c r="C30" i="2"/>
  <c r="C54" i="2"/>
  <c r="C55" i="2" s="1"/>
  <c r="C20" i="2"/>
  <c r="C15" i="2"/>
  <c r="C39" i="2"/>
  <c r="C34" i="2"/>
  <c r="A103" i="3"/>
  <c r="C71" i="3"/>
  <c r="A106" i="3"/>
  <c r="A88" i="3"/>
  <c r="C72" i="3"/>
  <c r="A87" i="3"/>
  <c r="S14" i="15"/>
  <c r="T14" i="15"/>
  <c r="G106" i="3"/>
  <c r="G88" i="3"/>
  <c r="G71" i="3"/>
  <c r="G72" i="3"/>
  <c r="G103" i="3"/>
  <c r="T19" i="15"/>
  <c r="P19" i="15"/>
  <c r="O23" i="15"/>
  <c r="T20" i="15"/>
  <c r="T21" i="15"/>
  <c r="S21" i="15"/>
  <c r="P20" i="15"/>
  <c r="T24" i="15"/>
  <c r="O20" i="15"/>
  <c r="T23" i="15"/>
  <c r="S24" i="15"/>
  <c r="O19" i="15"/>
  <c r="P23" i="15"/>
  <c r="T11" i="15"/>
  <c r="T12" i="15"/>
  <c r="S10" i="15"/>
  <c r="O11" i="15"/>
  <c r="P9" i="15"/>
  <c r="P11" i="15"/>
  <c r="O9" i="15"/>
  <c r="T13" i="15"/>
  <c r="S12" i="15"/>
  <c r="O13" i="15"/>
  <c r="T9" i="15"/>
  <c r="T10" i="15"/>
  <c r="P13" i="15"/>
  <c r="C79" i="2"/>
  <c r="C24" i="2"/>
  <c r="C96" i="2"/>
  <c r="C49" i="2"/>
  <c r="C100" i="2"/>
  <c r="C87" i="2"/>
  <c r="E79" i="2" l="1"/>
  <c r="U23" i="15"/>
  <c r="U20" i="15"/>
  <c r="U13" i="15"/>
  <c r="U11" i="15"/>
  <c r="V20" i="15"/>
  <c r="U24" i="15"/>
  <c r="U19" i="15"/>
  <c r="U21" i="15"/>
  <c r="N25" i="15"/>
  <c r="V14" i="15"/>
  <c r="U14" i="15"/>
  <c r="V21" i="15"/>
  <c r="V13" i="15"/>
  <c r="V24" i="15"/>
  <c r="V10" i="15"/>
  <c r="V12" i="15"/>
  <c r="V11" i="15"/>
  <c r="U9" i="15"/>
  <c r="U10" i="15"/>
  <c r="U12" i="15"/>
  <c r="N22" i="15"/>
  <c r="S15" i="15"/>
  <c r="R15" i="15" s="1"/>
  <c r="U15" i="15"/>
  <c r="N16" i="15"/>
  <c r="T16" i="15" s="1"/>
  <c r="V16" i="15" s="1"/>
  <c r="O14" i="15"/>
  <c r="P14" i="15"/>
  <c r="R14" i="15"/>
  <c r="Q14" i="15"/>
  <c r="R19" i="15"/>
  <c r="P24" i="15"/>
  <c r="S22" i="15"/>
  <c r="P21" i="15"/>
  <c r="O24" i="15"/>
  <c r="Q20" i="15"/>
  <c r="O21" i="15"/>
  <c r="R23" i="15"/>
  <c r="Q23" i="15"/>
  <c r="Q21" i="15"/>
  <c r="R20" i="15"/>
  <c r="T22" i="15"/>
  <c r="Q19" i="15"/>
  <c r="Q13" i="15"/>
  <c r="O10" i="15"/>
  <c r="R9" i="15"/>
  <c r="R13" i="15"/>
  <c r="Q9" i="15"/>
  <c r="R11" i="15"/>
  <c r="P12" i="15"/>
  <c r="Q12" i="15" s="1"/>
  <c r="P10" i="15"/>
  <c r="Q11" i="15"/>
  <c r="O12" i="15"/>
  <c r="R12" i="15" s="1"/>
  <c r="C101" i="2"/>
  <c r="O15" i="15" l="1"/>
  <c r="P15" i="15"/>
  <c r="Q15" i="15"/>
  <c r="U22" i="15"/>
  <c r="T25" i="15"/>
  <c r="S25" i="15"/>
  <c r="P25" i="15" s="1"/>
  <c r="N26" i="15"/>
  <c r="V22" i="15"/>
  <c r="V23" i="15"/>
  <c r="S16" i="15"/>
  <c r="R16" i="15" s="1"/>
  <c r="U16" i="15"/>
  <c r="N17" i="15"/>
  <c r="T17" i="15" s="1"/>
  <c r="V17" i="15" s="1"/>
  <c r="R24" i="15"/>
  <c r="Q24" i="15"/>
  <c r="P22" i="15"/>
  <c r="O22" i="15"/>
  <c r="R21" i="15"/>
  <c r="Q10" i="15"/>
  <c r="R10" i="15"/>
  <c r="C103" i="2"/>
  <c r="U25" i="15" l="1"/>
  <c r="V25" i="15"/>
  <c r="O16" i="15"/>
  <c r="T26" i="15"/>
  <c r="S26" i="15"/>
  <c r="O26" i="15" s="1"/>
  <c r="N27" i="15"/>
  <c r="P26" i="15"/>
  <c r="Q25" i="15"/>
  <c r="R25" i="15"/>
  <c r="O25" i="15"/>
  <c r="Q16" i="15"/>
  <c r="P16" i="15"/>
  <c r="S17" i="15"/>
  <c r="Q17" i="15" s="1"/>
  <c r="U17" i="15"/>
  <c r="R22" i="15"/>
  <c r="Q22" i="15"/>
  <c r="R17" i="15" l="1"/>
  <c r="R26" i="15"/>
  <c r="Q26" i="15"/>
  <c r="S27" i="15"/>
  <c r="O27" i="15" s="1"/>
  <c r="T27" i="15"/>
  <c r="V26" i="15"/>
  <c r="U26" i="15"/>
  <c r="P17" i="15"/>
  <c r="O17" i="15"/>
  <c r="R27" i="15" l="1"/>
  <c r="Q27" i="15"/>
  <c r="P27" i="15"/>
  <c r="U27" i="15"/>
  <c r="V27" i="15"/>
  <c r="U5" i="16"/>
  <c r="Q5" i="16"/>
  <c r="M5" i="16"/>
  <c r="I5" i="16"/>
  <c r="R5" i="16"/>
  <c r="N5" i="16"/>
  <c r="J5" i="16"/>
  <c r="H5" i="16"/>
  <c r="G5" i="16"/>
  <c r="S5" i="16"/>
  <c r="O5" i="16"/>
  <c r="K5" i="16"/>
  <c r="T5" i="16"/>
  <c r="P5" i="16"/>
  <c r="L5" i="16"/>
</calcChain>
</file>

<file path=xl/sharedStrings.xml><?xml version="1.0" encoding="utf-8"?>
<sst xmlns="http://schemas.openxmlformats.org/spreadsheetml/2006/main" count="435" uniqueCount="246">
  <si>
    <t>Lufttemperatur</t>
  </si>
  <si>
    <t>°C</t>
  </si>
  <si>
    <t>Relative Feuchte</t>
  </si>
  <si>
    <t>Luftdruck</t>
  </si>
  <si>
    <t>Sättigungsdruck H2O</t>
  </si>
  <si>
    <t>bar</t>
  </si>
  <si>
    <t>Pa</t>
  </si>
  <si>
    <t>Partialdampfdruck H2O</t>
  </si>
  <si>
    <t>Wassergehalt</t>
  </si>
  <si>
    <t>kg/kg</t>
  </si>
  <si>
    <t>g/kg</t>
  </si>
  <si>
    <t>Partialluftdruck</t>
  </si>
  <si>
    <t>kg/m³</t>
  </si>
  <si>
    <t>Enthalpie</t>
  </si>
  <si>
    <t>K</t>
  </si>
  <si>
    <t>Wassergehalt bei 100% rel.F.</t>
  </si>
  <si>
    <t>Nebel oder Eisanteil</t>
  </si>
  <si>
    <t>kJ/kg</t>
  </si>
  <si>
    <t>Taupunkt</t>
  </si>
  <si>
    <t>g/m³</t>
  </si>
  <si>
    <t>Dichte der feuchten Luft</t>
  </si>
  <si>
    <t>Dichte Trockenluftanteil</t>
  </si>
  <si>
    <t>Feuchtkugeltemperatur</t>
  </si>
  <si>
    <t>°C -&gt; Näherungsgleichung</t>
  </si>
  <si>
    <t>m/s</t>
  </si>
  <si>
    <t>Berechnungsfunktionen für feuchte Luft</t>
  </si>
  <si>
    <t>Die Eingabefelder sind rot umrandet</t>
  </si>
  <si>
    <t xml:space="preserve">2. Mit Formel 15 aus dem BFS Script wird die Wasserbeladung berechnet : </t>
  </si>
  <si>
    <t xml:space="preserve">3. Mit xs=0,622*pws/(p-pws) wird die gesättigte Wasserbeladung bestimmt : </t>
  </si>
  <si>
    <t xml:space="preserve">4. Mit Formel 16 aus dem BFS Script wird der Dampf Partialdruck berechnet : </t>
  </si>
  <si>
    <t>Mit Formel xx wird der berechnete Wert überprüft :</t>
  </si>
  <si>
    <t xml:space="preserve">5. Mit Formel 17 aus dem BFS Script wird der Luft Partialdruck berechnet : </t>
  </si>
  <si>
    <t xml:space="preserve">6. Mit Formel 19 aus dem BFS Script wird die Luft Dichte berechnet : </t>
  </si>
  <si>
    <t>7. Über die Zustandsgleichung idealer Gase wird die Dichte der trockenen Luft</t>
  </si>
  <si>
    <t>berechnet :</t>
  </si>
  <si>
    <t>8. Über Dichte und Wasserbeladung wird die Volumetrische Wasserbeladung</t>
  </si>
  <si>
    <t>9. Für die Berechnung der spezifischen Enthalpie wird in drei Formeln gerechnet :</t>
  </si>
  <si>
    <t>a. ungesättigte bis gerade gesättigte Luft   b. Nebel     c. Eisgebiet</t>
  </si>
  <si>
    <t>Die Formeln stammen aus der Klimavorlesung</t>
  </si>
  <si>
    <t>Die Näherungsgleichung stammt aus einem Metereologie Forum, sie war beim</t>
  </si>
  <si>
    <t>testen sehr hilfreich</t>
  </si>
  <si>
    <t>11. Die Feuchtkugeltemperatur wird mit einer Iteration berechnet. Die spez.</t>
  </si>
  <si>
    <t>Enthalpie des Luftzustandes wird bestimmt. Dann wird mit einer Schleife die</t>
  </si>
  <si>
    <t>dazu passende Sättigungstemperatur gesucht.</t>
  </si>
  <si>
    <t>kg/h</t>
  </si>
  <si>
    <t>Const RD_RL = RLuft / RDampf         0.62197               ... üblich ist 0.622 in der Literatur</t>
  </si>
  <si>
    <t>Const RE = 333.4                                    kJ/kg                   Phasenwandlungsenthalpie Eis &lt;-&gt; Wasser</t>
  </si>
  <si>
    <t>Const R = 8.31441                                  J/molK               Avogadro Konstante</t>
  </si>
  <si>
    <t>Const G = 9.81                                        m/s²                    Erdbeschleunigung</t>
  </si>
  <si>
    <t>Const ML = 28.96                                   kg/kMol             Molmasse der Luft</t>
  </si>
  <si>
    <t>Const MW = 18.02                                 kg/kMol             Molmasse des Wassers</t>
  </si>
  <si>
    <t>1. Konstanten</t>
  </si>
  <si>
    <t>2. Spezifische enthalpien</t>
  </si>
  <si>
    <t>3. Die Wasserbeladung</t>
  </si>
  <si>
    <t>4. Temperaturen</t>
  </si>
  <si>
    <t>5. Drücke</t>
  </si>
  <si>
    <t>6. Relative Luftfeuchte</t>
  </si>
  <si>
    <t>7. Feuchtkugeltemperatur</t>
  </si>
  <si>
    <t>8. Die Dichte</t>
  </si>
  <si>
    <t>10. Viskositäten</t>
  </si>
  <si>
    <t>11. Wärmeleitfähigkeit</t>
  </si>
  <si>
    <t>12. Rohrreibungszahl</t>
  </si>
  <si>
    <t>13. Druckgefälle im Rohr</t>
  </si>
  <si>
    <t>14. Taupunkttemperatur</t>
  </si>
  <si>
    <t>15. Wärmekapazität</t>
  </si>
  <si>
    <t>17. Der Barometrische Druck</t>
  </si>
  <si>
    <t>Const R0 = 2500.5                                  kJ/kg                   Phasenwandlungsenthalpie des Wassers &lt;-&gt; Dampf bei 0°C</t>
  </si>
  <si>
    <t>Const CPW = 1.88                                  kJ/kgK                spezifische Wärmekapazität des Wasserdampfes bei 0°C</t>
  </si>
  <si>
    <t>Const CPL = 1.0046                                kJ/kgK                spezifische Wärmekapazität der trockenen Luft</t>
  </si>
  <si>
    <t>Const cw = 4.192                                    kJ/kgK                spezifische Wärmekapazität des Wassers</t>
  </si>
  <si>
    <t>Const CE = 2.07                                       kJ/kgK                spezifische Wärmekapazität des Eises</t>
  </si>
  <si>
    <t>Const RLuft = 287.05                              J/kgK                 Gaskonstante der trockenen Luft</t>
  </si>
  <si>
    <t>19. Luftströme</t>
  </si>
  <si>
    <t xml:space="preserve">Volumenstrom feucht : </t>
  </si>
  <si>
    <t>m³/h</t>
  </si>
  <si>
    <t>12. Massenstrom der trockenen Luft</t>
  </si>
  <si>
    <t>Massenstrom trocken</t>
  </si>
  <si>
    <t>Zustandsberechnungen zur feuchten Luft</t>
  </si>
  <si>
    <t>Pas</t>
  </si>
  <si>
    <t>13. Luftgeschwindigkeit im Kanal</t>
  </si>
  <si>
    <t xml:space="preserve">w gewünscht : </t>
  </si>
  <si>
    <t>m²</t>
  </si>
  <si>
    <t xml:space="preserve">Benötigte Querschnittsfläche : </t>
  </si>
  <si>
    <t xml:space="preserve">Benötigter Durchmesser : </t>
  </si>
  <si>
    <t>m</t>
  </si>
  <si>
    <t xml:space="preserve">14. Druckverlust im Kanal </t>
  </si>
  <si>
    <t>gewählter Durchmesser :</t>
  </si>
  <si>
    <t xml:space="preserve">Geschwindigkeit : </t>
  </si>
  <si>
    <t xml:space="preserve">Querschnittsfläche : </t>
  </si>
  <si>
    <t>mm</t>
  </si>
  <si>
    <t xml:space="preserve">m </t>
  </si>
  <si>
    <t xml:space="preserve">Rauigkeit k des Rohres : </t>
  </si>
  <si>
    <t xml:space="preserve">Kinematische Viskosität : </t>
  </si>
  <si>
    <t>m²/s</t>
  </si>
  <si>
    <t xml:space="preserve">Reynolds : </t>
  </si>
  <si>
    <t xml:space="preserve">Lambda : </t>
  </si>
  <si>
    <t xml:space="preserve">Druckverlust pro 1 m : </t>
  </si>
  <si>
    <t xml:space="preserve">Dynamische Viskosität : </t>
  </si>
  <si>
    <t>m³/s</t>
  </si>
  <si>
    <t>kg/s</t>
  </si>
  <si>
    <t>Relative Feuchte :</t>
  </si>
  <si>
    <t>&lt;&lt;--- dann da eintragen!</t>
  </si>
  <si>
    <t>Const K0 = 273.15                               ' K                     Absoluter Nullpunkt =0°c - K0</t>
  </si>
  <si>
    <t>Const pwtr = 0.00611657                         ' bar                   Wasserdampfdruck am Tripelpunkt</t>
  </si>
  <si>
    <t>Const Twtr = 273.16                             ' K                     Tripelpunkttemperatur Wasser</t>
  </si>
  <si>
    <t>Const Twcrit = 647.096                          ' K                     Kritische Temperatur Wasser</t>
  </si>
  <si>
    <t>Const RDampf = 461.52                        J/kgK                 Gaskonstante von Wasserdampf</t>
  </si>
  <si>
    <t>=RLuft()</t>
  </si>
  <si>
    <t>=RDampf()</t>
  </si>
  <si>
    <t>=RD_RL()</t>
  </si>
  <si>
    <t>=cpl()</t>
  </si>
  <si>
    <t>=R0()</t>
  </si>
  <si>
    <t>=CPw()</t>
  </si>
  <si>
    <t>=cw()</t>
  </si>
  <si>
    <t>=CE()</t>
  </si>
  <si>
    <t>=rE()</t>
  </si>
  <si>
    <t>=Avogadro()</t>
  </si>
  <si>
    <t>=Erdbeschleunigung()</t>
  </si>
  <si>
    <t>=ML()</t>
  </si>
  <si>
    <t>=MW()</t>
  </si>
  <si>
    <t>=K0()</t>
  </si>
  <si>
    <t>=pwtr()</t>
  </si>
  <si>
    <t>=Twtr()</t>
  </si>
  <si>
    <t>=Twcrit()</t>
  </si>
  <si>
    <t>9. Dimensionslose Kennzahlen</t>
  </si>
  <si>
    <t>W/mK</t>
  </si>
  <si>
    <t>kJ/kgK</t>
  </si>
  <si>
    <t>20. Zustandsänderungen</t>
  </si>
  <si>
    <t>Heizen und kühlen</t>
  </si>
  <si>
    <t>Ein</t>
  </si>
  <si>
    <t>Aus</t>
  </si>
  <si>
    <t>=pi()</t>
  </si>
  <si>
    <t>Kreiszahl</t>
  </si>
  <si>
    <t>kg/kMol</t>
  </si>
  <si>
    <t>m/s²</t>
  </si>
  <si>
    <t>J/MolK</t>
  </si>
  <si>
    <t>J/kgK</t>
  </si>
  <si>
    <t>Lambda</t>
  </si>
  <si>
    <t>Für Verbesserungsvorschläge, Kritik und Fehlermeldungen bin ich unter FeuchteLuft at gmx net zu erreichen</t>
  </si>
  <si>
    <t>Verhältnisgleichungen beim Mischen</t>
  </si>
  <si>
    <t>=Temperaturgradient()</t>
  </si>
  <si>
    <t>K/m</t>
  </si>
  <si>
    <t>Temperaturabnahme mit der Höhe</t>
  </si>
  <si>
    <t>Isenthalpen</t>
  </si>
  <si>
    <t>Alle Funktionen sind in dieser Excel Tabelle enthalten, es werden keine extra Dateien benötigt</t>
  </si>
  <si>
    <t>Doppelt unterstrichene Felder enthalten Ergebnisse von Funktionsaufrufen</t>
  </si>
  <si>
    <t>Die Grundlagenformeln stammen entweder aus der Vorlesung Klimatechnik an der ESAK bei Prof. Dr. Ing. Bruno Gräff oder aus den Scripten der Bundesfachschule Kälte Klima Technik in Maintal</t>
  </si>
  <si>
    <t xml:space="preserve">Für die spezifische Wärmekapazität der trockenen Luft im Minusbereich wird eine Formel aus dem Handbuch der Software AHH verwendet. </t>
  </si>
  <si>
    <t xml:space="preserve">Die Stoffwerte stammen Überwiegend aus Formeln von Bernd Glück aus dem Buch "Zustands- und Stoffwerte" </t>
  </si>
  <si>
    <t>Eine Antoine Gleichung nach Baehr, Kabelac wird für den Dampfdruck von            -50°C bis +60°C verwendet</t>
  </si>
  <si>
    <t>Einige weitere Formeln für Reibungszahlen entstammen Dokumenten und Webseiten von Wikipedia</t>
  </si>
  <si>
    <t>1. Es wird der Sättigungsdruck bestimmt :</t>
  </si>
  <si>
    <t>Verwendungshinweis :</t>
  </si>
  <si>
    <t>Einfach ein neues Tabellenblatt anlegen und die gewünschten Funktionen einfügen. Sie stehen als benutzerdefinierte Funktionen zur Verfügung und können, wenn gewünscht im Visual Basic Editor angesehen oder verändert werden. Sie können die Datei dann unter anderem Namen speichern und die nicht benötigten Blätter löschen.</t>
  </si>
  <si>
    <t>Temperatur °C</t>
  </si>
  <si>
    <t>Druck mbar</t>
  </si>
  <si>
    <t>kW</t>
  </si>
  <si>
    <t>Wasserbeladung</t>
  </si>
  <si>
    <t>Masse-
strom</t>
  </si>
  <si>
    <t>Bezeichnung</t>
  </si>
  <si>
    <t>Temperatur</t>
  </si>
  <si>
    <t>rel. Luftfeuchte</t>
  </si>
  <si>
    <t>Taupunkt-
temperatur</t>
  </si>
  <si>
    <t>Feuchtkugel-
temperatur</t>
  </si>
  <si>
    <t>Dichte</t>
  </si>
  <si>
    <t>Volumen-
strom</t>
  </si>
  <si>
    <t>wirksame
Leistung</t>
  </si>
  <si>
    <t>%</t>
  </si>
  <si>
    <t>Zuluft</t>
  </si>
  <si>
    <t>Fortluft</t>
  </si>
  <si>
    <t>relative Luftfeuchte</t>
  </si>
  <si>
    <t xml:space="preserve">ICAO Standardatmosphäre ist mit  101 325 Pa = 1.01325 bar definiert
</t>
  </si>
  <si>
    <t>Außenluft</t>
  </si>
  <si>
    <t>Abluft</t>
  </si>
  <si>
    <t>Luftdruck in bar</t>
  </si>
  <si>
    <t>Partialdruck Wasser</t>
  </si>
  <si>
    <t>Ventilator</t>
  </si>
  <si>
    <t>Sorption</t>
  </si>
  <si>
    <t>WRG</t>
  </si>
  <si>
    <t>Befeuchtung</t>
  </si>
  <si>
    <t>Nur in rot umrandete Felder sollte in diesem Blatt etwas eingegeben werden</t>
  </si>
  <si>
    <t>Berechnungsfunktionen für feuchte Luft V 1.1</t>
  </si>
  <si>
    <t>© 2013 Reiner Mayers, Dipl. Ing. (Ba) Kältesystemtechnik</t>
  </si>
  <si>
    <t>Es darf immer nur Temperatur oder Enthalpie   und    Relative Feuchte oder Wasserbeladung eingetragen werden</t>
  </si>
  <si>
    <t>Das Layout ist angelehnt an die Tabelle vom ILK, die Formeln sind andere</t>
  </si>
  <si>
    <t>Regenerationsheizung</t>
  </si>
  <si>
    <t>Wird nur die Temperatur eingetragen, gilt x = constant</t>
  </si>
  <si>
    <t>Linien gleicher luftfeuchte</t>
  </si>
  <si>
    <t>=Enthalpie_p_t_x(p_bar, t_Celsius, x_kgkg)</t>
  </si>
  <si>
    <t>=Enthalpie_t_x(t_Celsius, x_kgkg) -&gt; Nur für ungesättigte feuchte Luft und gerade geättigte</t>
  </si>
  <si>
    <t>=Enthalpie_p_t_phi(p_bar, t_Celsius, phi)</t>
  </si>
  <si>
    <t>=Wassergehalt_p_t_phi(Luftdruck_bar, Temperatur_C, RelativeFeuchte)</t>
  </si>
  <si>
    <t>=WassergehaltSaet_t_p(Temperatur_C, Luftdruck_bar) --&gt; Wassergehalt im Sättigungszustand</t>
  </si>
  <si>
    <t>=Wassergehalt_p_pws_phi(Luftdruck_bar, Saettigungsdruck_bar, RelativeFeuchte)</t>
  </si>
  <si>
    <t>=WassergehaltSaet_p_pws(p_bar, pws_bar)</t>
  </si>
  <si>
    <t>=Wassergehalt_p_h_phi(Luftdruck_bar, h_kjkg, RelativeFeuchte)</t>
  </si>
  <si>
    <t>=Saettigungstemperatur_p(Dampfpartialdruck) --&gt; die Temperatur entlang der Saettigungslinie, -50…200°C</t>
  </si>
  <si>
    <t>=Temperatur_h_x(h_kJkg, x_kgkg)</t>
  </si>
  <si>
    <t>=Temperatur_p_h_phi(p_bar, h_kjkg, RelativeFeuchte)</t>
  </si>
  <si>
    <t>Funktionsaufruf :</t>
  </si>
  <si>
    <t>=PartialdruckWasser_p_x(p_bar, x_kgkg)</t>
  </si>
  <si>
    <t>=PartialdruckLuft_p_x(p_bar, x_kgkg)</t>
  </si>
  <si>
    <t>=Saettigungsdruck_t(Temperatur_C) --&gt; der Druck entlang der Sättigungslinie, -50…200°C</t>
  </si>
  <si>
    <t>=DampfDruckPsychrometer_p_t_tfk(p_bar, t_Celsius, tfeucht_Celsius)... liefert im Bereich -10 bis +50°C Ergebnisse</t>
  </si>
  <si>
    <t>=RelativeFeuchte_p_x_pws(p_bar, x_kgkg, pws_bar)</t>
  </si>
  <si>
    <t>=RelativeFeuchte_p_t_x(p_bar, t_Celsius, x_kgkg)</t>
  </si>
  <si>
    <t>=RelativeFeuchte_t_tTaup(t_Celsius, tTaup_Celsius)</t>
  </si>
  <si>
    <t>=RelativeFeuchte_p_t_tfk( p_bar, t_Celsius, tfk_Celsius )</t>
  </si>
  <si>
    <t>=FeuchtkugelTemp_p_t_phi(p_bar, t_Celsius, phi)</t>
  </si>
  <si>
    <t>=Dichte_p_t_pw(Luftdruck_bar, Temperatur_C, Partialdampfdruck_bar)</t>
  </si>
  <si>
    <t>=Dichte_p_t_x(p_bar, t_Celsius, x_kgkg)</t>
  </si>
  <si>
    <t>=Dichte_p_t_phi(p_bar, t_Celsius, phi)</t>
  </si>
  <si>
    <t>=Dichte_p_t_R(Luftdruck_bar, Temperatur_C, GaskonstanteFeuchterLuft)</t>
  </si>
  <si>
    <t>=R_p_pws_phi(p_bar,pws_bar,phi) … Gaskonstante der feuchten Luft</t>
  </si>
  <si>
    <t>=Reynolds_d_nue_w(di_m , nue_m2s,w_ms)</t>
  </si>
  <si>
    <t>=Reynolds_di_eta_rho_w(di_m, eta_Pas, rho_kgm3, w_ms )  …Rho aus G65</t>
  </si>
  <si>
    <t>=Prandtl_t(t_Celsius)</t>
  </si>
  <si>
    <t>=ViskositaetKin_t(t_Celsius)   (Nü)</t>
  </si>
  <si>
    <t>=ViskositaetDyn_t(t_Celsius)  (Eta)</t>
  </si>
  <si>
    <t>=Waermeleitfaehigkeit_t(t_Celsius)</t>
  </si>
  <si>
    <t>=RohrReibungszahl(Reynolds, Rauhigkeit_m , Durchmesser_m )</t>
  </si>
  <si>
    <t>=RohrReibungszahlDC(Reynolds, Rauhigkeit_m , Durchmesser_m )   … nur Turbulent, anderes Rechenmodell</t>
  </si>
  <si>
    <t>=DeltaP(Lambda , L_m , d_m , rho_kgm3 , w_ms ) … Bernoulli</t>
  </si>
  <si>
    <t>=Taupunkttemperatur(pwd_bar)</t>
  </si>
  <si>
    <t>=WaermekapLuft_t(t_Celsius)</t>
  </si>
  <si>
    <t>=WaermekapDampf_t(t_Celsius)</t>
  </si>
  <si>
    <t>=Barometerdruck(hoehe_H, Luftfeuchte_phi, t_jahresmittel) …Barometerdruck Isotherm mit Luftfeuchtigkeit nach AHH</t>
  </si>
  <si>
    <t>=DruckBHFormel_p_h_t(ph0_bar, h_m, th0_Celsius)</t>
  </si>
  <si>
    <t>=mstromtrocken(Vfl_m3h, rho, x_kgkg)</t>
  </si>
  <si>
    <t>=vstromfeucht(mstromtr_kgh, rho, x_kgkg)</t>
  </si>
  <si>
    <t>=Vstromm3h_A_w(A_m2 , w_ms ) … Volumenstrom aus Querschnittsfläche A und geschwindigkeit w</t>
  </si>
  <si>
    <t>=Geschwindigkeit_A_Vstrom(A_m2 , vstrom_m3h ) … Geschwindigkeit aus Querschnittsfläche und Volumenstrom</t>
  </si>
  <si>
    <t>=Querschnittsflaeche_vstrom_w(vstrom_m3h, w_ms) … Querschnittsfläche aus Volumenstrom und Geschwindigkeit</t>
  </si>
  <si>
    <t>=FlaecheKreis(Durchmesser_m) … Fläche eines Kreises</t>
  </si>
  <si>
    <t>=FlaecheRechteck(b_m, h_m) … Fläche eines Rechtecks</t>
  </si>
  <si>
    <t>=HydraulischerDurchmesser(b_m , h_m ) … hydraulischer Durchmesser eines rechteckigen Rohres</t>
  </si>
  <si>
    <t>=Durchmesser(A_m2) … Durchmesser eines Kreises mit Fläche A</t>
  </si>
  <si>
    <t>=RelativeFeuchteHeizen(p_bar, t_Celsius_Ein, T_Celsius_Aus, phi_Ein)</t>
  </si>
  <si>
    <t>=MischenX(x1, m1, x2, m2)</t>
  </si>
  <si>
    <t>=MischenH(h1, m1, h2, m2)</t>
  </si>
  <si>
    <t>=MischenT(t1, m1, t2, m2)</t>
  </si>
  <si>
    <t>Wenn nur X gegeben :</t>
  </si>
  <si>
    <t>10. Der Taupunkt entspricht der Sättigungstemperatur beim aktuellen Luftdruck</t>
  </si>
  <si>
    <t>Eine gute alternative zu dieser Funktionssammlung ist die Bibliothek</t>
  </si>
  <si>
    <t>Coolprop Haprops. Sie verwendet Statusgleichungen für feuchte Luft und</t>
  </si>
  <si>
    <t>nicht die gesetze der idealen gase welche hier den meisten Formeln zugrunde liegen</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</si>
</sst>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
    <numFmt numFmtId="165" formatCode="0.0000000"/>
    <numFmt numFmtId="166" formatCode="0.00000000"/>
    <numFmt numFmtId="167" formatCode="0.00000"/>
    <numFmt numFmtId="168" formatCode="0.000"/>
    <numFmt numFmtId="169" formatCode="0.000000"/>
    <numFmt numFmtId="170" formatCode="0.0"/>
    <numFmt numFmtId="171" formatCode="#,##0.00000"/>
  </numFmts>
  <fonts count="17" x14ac:knownFonts="1">
    <font>
      <sz val="11"/>
      <color theme="1"/>
      <name val="Calibri"/>
      <family val="2"/>
      <scheme val="minor"/>
    </font>
    <font>
      <sz val="11"/>
      <color indexed="10"/>
      <name val="Calibri"/>
      <family val="2"/>
    </font>
    <font>
      <b/>
      <u/>
      <sz val="11"/>
      <color indexed="8"/>
      <name val="Calibri"/>
      <family val="2"/>
    </font>
    <font>
      <b/>
      <sz val="14"/>
      <color indexed="8"/>
      <name val="Calibri"/>
      <family val="2"/>
    </font>
    <font>
      <sz val="11"/>
      <color indexed="23"/>
      <name val="Calibri"/>
      <family val="2"/>
    </font>
    <font>
      <sz val="11"/>
      <color indexed="56"/>
      <name val="Calibri"/>
      <family val="2"/>
    </font>
    <font>
      <sz val="11"/>
      <name val="Calibri"/>
      <family val="2"/>
    </font>
    <font>
      <b/>
      <sz val="11"/>
      <color indexed="8"/>
      <name val="Calibri"/>
      <family val="2"/>
    </font>
    <font>
      <b/>
      <sz val="16"/>
      <color indexed="8"/>
      <name val="Calibri"/>
      <family val="2"/>
    </font>
    <font>
      <u/>
      <sz val="11"/>
      <color indexed="8"/>
      <name val="Calibri"/>
      <family val="2"/>
    </font>
    <font>
      <sz val="8"/>
      <name val="Calibri"/>
      <family val="2"/>
    </font>
    <font>
      <sz val="11"/>
      <color theme="1"/>
      <name val="Calibri"/>
      <family val="2"/>
      <scheme val="minor"/>
    </font>
    <font>
      <b/>
      <sz val="8"/>
      <name val="Arial"/>
      <family val="2"/>
    </font>
    <font>
      <sz val="8"/>
      <name val="Arial"/>
      <family val="2"/>
    </font>
    <font>
      <sz val="11"/>
      <color theme="1"/>
      <name val="Arial"/>
      <family val="2"/>
    </font>
    <font>
      <sz val="11"/>
      <name val="Arial"/>
      <family val="2"/>
    </font>
    <font>
      <b/>
      <sz val="12"/>
      <color theme="1"/>
      <name val="Calibri"/>
      <family val="2"/>
      <scheme val="minor"/>
    </font>
  </fonts>
  <fills count="4">
    <fill>
      <patternFill patternType="none"/>
    </fill>
    <fill>
      <patternFill patternType="gray125"/>
    </fill>
    <fill>
      <patternFill patternType="solid">
        <fgColor theme="0"/>
        <bgColor indexed="31"/>
      </patternFill>
    </fill>
    <fill>
      <patternFill patternType="solid">
        <fgColor theme="8" tint="0.79998168889431442"/>
        <bgColor indexed="31"/>
      </patternFill>
    </fill>
  </fills>
  <borders count="77">
    <border>
      <left/>
      <right/>
      <top/>
      <bottom/>
      <diagonal/>
    </border>
    <border>
      <left style="medium">
        <color indexed="10"/>
      </left>
      <right style="medium">
        <color indexed="10"/>
      </right>
      <top style="medium">
        <color indexed="10"/>
      </top>
      <bottom style="medium">
        <color indexed="10"/>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10"/>
      </left>
      <right style="thin">
        <color indexed="10"/>
      </right>
      <top style="thin">
        <color indexed="10"/>
      </top>
      <bottom style="thin">
        <color indexed="10"/>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rgb="FFFF0000"/>
      </top>
      <bottom/>
      <diagonal/>
    </border>
    <border>
      <left/>
      <right/>
      <top style="thin">
        <color rgb="FFFF0000"/>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style="medium">
        <color indexed="64"/>
      </left>
      <right style="medium">
        <color indexed="64"/>
      </right>
      <top style="thin">
        <color rgb="FFFF0000"/>
      </top>
      <bottom style="thin">
        <color rgb="FFFF0000"/>
      </bottom>
      <diagonal/>
    </border>
    <border>
      <left style="medium">
        <color indexed="64"/>
      </left>
      <right style="thin">
        <color rgb="FFFF0000"/>
      </right>
      <top style="thin">
        <color rgb="FFFF0000"/>
      </top>
      <bottom style="thin">
        <color rgb="FFFF0000"/>
      </bottom>
      <diagonal/>
    </border>
    <border>
      <left style="thin">
        <color rgb="FFFF0000"/>
      </left>
      <right style="medium">
        <color indexed="64"/>
      </right>
      <top style="thin">
        <color rgb="FFFF0000"/>
      </top>
      <bottom style="thin">
        <color rgb="FFFF0000"/>
      </bottom>
      <diagonal/>
    </border>
    <border>
      <left style="medium">
        <color indexed="64"/>
      </left>
      <right style="thin">
        <color rgb="FFFF0000"/>
      </right>
      <top style="thin">
        <color rgb="FFFF0000"/>
      </top>
      <bottom style="medium">
        <color indexed="64"/>
      </bottom>
      <diagonal/>
    </border>
    <border>
      <left style="thin">
        <color rgb="FFFF0000"/>
      </left>
      <right style="medium">
        <color indexed="64"/>
      </right>
      <top style="thin">
        <color rgb="FFFF0000"/>
      </top>
      <bottom style="medium">
        <color indexed="64"/>
      </bottom>
      <diagonal/>
    </border>
    <border>
      <left/>
      <right/>
      <top style="thin">
        <color rgb="FFFF0000"/>
      </top>
      <bottom style="thin">
        <color rgb="FFFF0000"/>
      </bottom>
      <diagonal/>
    </border>
    <border>
      <left/>
      <right/>
      <top/>
      <bottom style="thin">
        <color rgb="FFFF0000"/>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FF0000"/>
      </right>
      <top/>
      <bottom style="thin">
        <color rgb="FFFF0000"/>
      </bottom>
      <diagonal/>
    </border>
    <border>
      <left style="thin">
        <color rgb="FFFF0000"/>
      </left>
      <right style="medium">
        <color indexed="64"/>
      </right>
      <top/>
      <bottom style="thin">
        <color rgb="FFFF0000"/>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rgb="FFFF0000"/>
      </right>
      <top style="thin">
        <color rgb="FFFF0000"/>
      </top>
      <bottom/>
      <diagonal/>
    </border>
    <border>
      <left style="thin">
        <color rgb="FFFF0000"/>
      </left>
      <right style="medium">
        <color indexed="64"/>
      </right>
      <top style="thin">
        <color rgb="FFFF0000"/>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s>
  <cellStyleXfs count="2">
    <xf numFmtId="0" fontId="0" fillId="0" borderId="0"/>
    <xf numFmtId="9" fontId="11" fillId="0" borderId="0" applyFont="0" applyFill="0" applyBorder="0" applyAlignment="0" applyProtection="0"/>
  </cellStyleXfs>
  <cellXfs count="242">
    <xf numFmtId="0" fontId="0" fillId="0" borderId="0" xfId="0"/>
    <xf numFmtId="0" fontId="0" fillId="0" borderId="0" xfId="0" applyBorder="1"/>
    <xf numFmtId="0" fontId="0" fillId="0" borderId="1" xfId="0" applyBorder="1"/>
    <xf numFmtId="0" fontId="0" fillId="0" borderId="2" xfId="0" applyBorder="1"/>
    <xf numFmtId="0" fontId="0" fillId="0" borderId="3" xfId="0" applyBorder="1"/>
    <xf numFmtId="2" fontId="0" fillId="0" borderId="3" xfId="0" applyNumberFormat="1" applyBorder="1"/>
    <xf numFmtId="2" fontId="0" fillId="0" borderId="2" xfId="0" applyNumberFormat="1" applyBorder="1"/>
    <xf numFmtId="165" fontId="0" fillId="0" borderId="3" xfId="0" applyNumberFormat="1" applyBorder="1"/>
    <xf numFmtId="10" fontId="0" fillId="0" borderId="2" xfId="0" applyNumberFormat="1" applyBorder="1"/>
    <xf numFmtId="0" fontId="1" fillId="0" borderId="0" xfId="0" applyFont="1"/>
    <xf numFmtId="164" fontId="0" fillId="0" borderId="2" xfId="0" applyNumberFormat="1" applyFont="1" applyBorder="1"/>
    <xf numFmtId="167" fontId="0" fillId="0" borderId="2" xfId="0" applyNumberFormat="1" applyBorder="1"/>
    <xf numFmtId="167" fontId="0" fillId="0" borderId="0" xfId="0" applyNumberFormat="1" applyBorder="1"/>
    <xf numFmtId="0" fontId="0" fillId="0" borderId="4" xfId="0" applyBorder="1"/>
    <xf numFmtId="0" fontId="0" fillId="0" borderId="5" xfId="0" applyBorder="1"/>
    <xf numFmtId="0" fontId="2" fillId="0" borderId="0" xfId="0" applyFont="1"/>
    <xf numFmtId="0" fontId="2" fillId="0" borderId="0" xfId="0" applyFont="1" applyBorder="1"/>
    <xf numFmtId="0" fontId="0" fillId="0" borderId="0" xfId="0" applyAlignment="1">
      <alignment horizontal="right"/>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2" fontId="0" fillId="0" borderId="0" xfId="0" applyNumberFormat="1" applyBorder="1"/>
    <xf numFmtId="0" fontId="0" fillId="0" borderId="11" xfId="0" applyBorder="1"/>
    <xf numFmtId="0" fontId="0" fillId="0" borderId="12" xfId="0" applyBorder="1"/>
    <xf numFmtId="0" fontId="0" fillId="0" borderId="13" xfId="0" applyBorder="1"/>
    <xf numFmtId="2" fontId="0" fillId="0" borderId="12" xfId="0" applyNumberFormat="1" applyBorder="1"/>
    <xf numFmtId="2" fontId="0" fillId="0" borderId="7" xfId="0" applyNumberFormat="1" applyBorder="1"/>
    <xf numFmtId="166" fontId="0" fillId="0" borderId="10" xfId="0" applyNumberFormat="1" applyBorder="1"/>
    <xf numFmtId="165" fontId="0" fillId="0" borderId="12" xfId="0" applyNumberFormat="1" applyBorder="1"/>
    <xf numFmtId="165" fontId="0" fillId="0" borderId="7" xfId="0" applyNumberFormat="1" applyBorder="1"/>
    <xf numFmtId="0" fontId="0" fillId="0" borderId="9" xfId="0" applyFill="1" applyBorder="1"/>
    <xf numFmtId="0" fontId="0" fillId="0" borderId="6" xfId="0" applyFill="1" applyBorder="1"/>
    <xf numFmtId="164" fontId="0" fillId="0" borderId="0" xfId="0" applyNumberFormat="1" applyFont="1" applyBorder="1"/>
    <xf numFmtId="0" fontId="0" fillId="0" borderId="9" xfId="0" applyFont="1" applyBorder="1"/>
    <xf numFmtId="0" fontId="0" fillId="0" borderId="0" xfId="0" applyFont="1" applyBorder="1"/>
    <xf numFmtId="0" fontId="1" fillId="0" borderId="12" xfId="0" applyFont="1" applyBorder="1"/>
    <xf numFmtId="0" fontId="1" fillId="0" borderId="13" xfId="0" applyFont="1" applyBorder="1"/>
    <xf numFmtId="164" fontId="0" fillId="0" borderId="7" xfId="0" applyNumberFormat="1" applyFont="1" applyBorder="1"/>
    <xf numFmtId="0" fontId="0" fillId="0" borderId="7" xfId="0" applyFont="1" applyBorder="1"/>
    <xf numFmtId="0" fontId="1" fillId="0" borderId="7" xfId="0" applyFont="1" applyBorder="1"/>
    <xf numFmtId="0" fontId="1" fillId="0" borderId="8" xfId="0" applyFont="1" applyBorder="1"/>
    <xf numFmtId="0" fontId="1" fillId="0" borderId="0" xfId="0" applyFont="1" applyBorder="1"/>
    <xf numFmtId="0" fontId="1" fillId="0" borderId="10" xfId="0" applyFont="1" applyBorder="1"/>
    <xf numFmtId="0" fontId="3" fillId="0" borderId="0" xfId="0" applyFont="1"/>
    <xf numFmtId="0" fontId="3" fillId="0" borderId="14" xfId="0" applyFont="1" applyBorder="1"/>
    <xf numFmtId="0" fontId="0" fillId="0" borderId="15" xfId="0" applyBorder="1"/>
    <xf numFmtId="0" fontId="0" fillId="0" borderId="16" xfId="0" applyBorder="1"/>
    <xf numFmtId="0" fontId="4" fillId="0" borderId="0" xfId="0" applyFont="1" applyBorder="1"/>
    <xf numFmtId="0" fontId="5" fillId="0" borderId="0" xfId="0" applyFont="1"/>
    <xf numFmtId="168" fontId="0" fillId="0" borderId="2" xfId="0" applyNumberFormat="1" applyBorder="1"/>
    <xf numFmtId="164" fontId="0" fillId="0" borderId="2" xfId="0" applyNumberFormat="1" applyBorder="1"/>
    <xf numFmtId="164" fontId="0" fillId="0" borderId="3" xfId="0" applyNumberFormat="1" applyBorder="1"/>
    <xf numFmtId="0" fontId="0" fillId="0" borderId="9" xfId="0" applyBorder="1" applyAlignment="1">
      <alignment horizontal="right"/>
    </xf>
    <xf numFmtId="164" fontId="0" fillId="0" borderId="0" xfId="0" applyNumberFormat="1" applyBorder="1"/>
    <xf numFmtId="1" fontId="0" fillId="0" borderId="3" xfId="0" applyNumberFormat="1" applyBorder="1"/>
    <xf numFmtId="1" fontId="0" fillId="0" borderId="0" xfId="0" applyNumberFormat="1" applyBorder="1"/>
    <xf numFmtId="0" fontId="0" fillId="0" borderId="11" xfId="0" applyBorder="1" applyAlignment="1">
      <alignment horizontal="right"/>
    </xf>
    <xf numFmtId="164" fontId="4" fillId="0" borderId="0" xfId="0" applyNumberFormat="1" applyFont="1" applyBorder="1"/>
    <xf numFmtId="10" fontId="0" fillId="0" borderId="0" xfId="0" applyNumberFormat="1"/>
    <xf numFmtId="0" fontId="4" fillId="0" borderId="10" xfId="0" applyFont="1" applyBorder="1"/>
    <xf numFmtId="0" fontId="4" fillId="0" borderId="13" xfId="0" applyFont="1" applyBorder="1"/>
    <xf numFmtId="0" fontId="0" fillId="0" borderId="17" xfId="0" applyBorder="1"/>
    <xf numFmtId="0" fontId="0" fillId="0" borderId="18" xfId="0" applyBorder="1"/>
    <xf numFmtId="0" fontId="2" fillId="0" borderId="19" xfId="0" applyFont="1" applyBorder="1"/>
    <xf numFmtId="0" fontId="0" fillId="0" borderId="20" xfId="0" applyBorder="1"/>
    <xf numFmtId="0" fontId="0" fillId="0" borderId="21" xfId="0" applyBorder="1"/>
    <xf numFmtId="0" fontId="0" fillId="0" borderId="0" xfId="0" applyBorder="1" applyAlignment="1">
      <alignment horizontal="center"/>
    </xf>
    <xf numFmtId="167" fontId="0" fillId="0" borderId="20" xfId="0" applyNumberFormat="1" applyBorder="1"/>
    <xf numFmtId="0" fontId="0" fillId="0" borderId="22" xfId="0" applyBorder="1"/>
    <xf numFmtId="0" fontId="0" fillId="0" borderId="23" xfId="0" applyBorder="1"/>
    <xf numFmtId="0" fontId="0" fillId="0" borderId="24" xfId="0" applyBorder="1"/>
    <xf numFmtId="167" fontId="0" fillId="0" borderId="18" xfId="0" applyNumberFormat="1" applyBorder="1"/>
    <xf numFmtId="167" fontId="0" fillId="0" borderId="23" xfId="0" applyNumberFormat="1" applyBorder="1"/>
    <xf numFmtId="0" fontId="0" fillId="0" borderId="18" xfId="0" applyBorder="1" applyAlignment="1">
      <alignment horizontal="center"/>
    </xf>
    <xf numFmtId="0" fontId="3" fillId="0" borderId="19" xfId="0" applyFont="1" applyBorder="1"/>
    <xf numFmtId="0" fontId="2" fillId="0" borderId="21" xfId="0" applyFont="1" applyBorder="1"/>
    <xf numFmtId="49" fontId="0" fillId="0" borderId="0" xfId="0" quotePrefix="1" applyNumberFormat="1" applyBorder="1"/>
    <xf numFmtId="10" fontId="0" fillId="0" borderId="0" xfId="0" applyNumberFormat="1" applyBorder="1"/>
    <xf numFmtId="0" fontId="2" fillId="0" borderId="24" xfId="0" applyFont="1" applyBorder="1"/>
    <xf numFmtId="0" fontId="0" fillId="0" borderId="0" xfId="0" applyFill="1" applyBorder="1"/>
    <xf numFmtId="0" fontId="0" fillId="0" borderId="0" xfId="0" applyBorder="1" applyAlignment="1">
      <alignment horizontal="left"/>
    </xf>
    <xf numFmtId="2" fontId="0" fillId="0" borderId="0" xfId="0" applyNumberFormat="1"/>
    <xf numFmtId="168" fontId="0" fillId="0" borderId="3" xfId="0" applyNumberFormat="1" applyBorder="1"/>
    <xf numFmtId="169" fontId="0" fillId="0" borderId="2" xfId="0" applyNumberFormat="1" applyBorder="1"/>
    <xf numFmtId="0" fontId="6" fillId="0" borderId="9" xfId="0" applyFont="1" applyBorder="1"/>
    <xf numFmtId="167" fontId="6" fillId="0" borderId="0" xfId="0" applyNumberFormat="1" applyFont="1" applyBorder="1"/>
    <xf numFmtId="0" fontId="6" fillId="0" borderId="0" xfId="0" applyFont="1" applyBorder="1"/>
    <xf numFmtId="0" fontId="6" fillId="0" borderId="10" xfId="0" applyFont="1" applyBorder="1"/>
    <xf numFmtId="0" fontId="6" fillId="0" borderId="0" xfId="0" applyFont="1"/>
    <xf numFmtId="0" fontId="6" fillId="0" borderId="22" xfId="0" applyFont="1" applyBorder="1"/>
    <xf numFmtId="0" fontId="6" fillId="0" borderId="23" xfId="0" applyFont="1" applyBorder="1"/>
    <xf numFmtId="0" fontId="6" fillId="0" borderId="24" xfId="0" applyFont="1" applyBorder="1"/>
    <xf numFmtId="0" fontId="0" fillId="0" borderId="0" xfId="0" applyFill="1" applyBorder="1" applyAlignment="1">
      <alignment horizontal="left"/>
    </xf>
    <xf numFmtId="1" fontId="0" fillId="0" borderId="2" xfId="0" applyNumberFormat="1" applyBorder="1"/>
    <xf numFmtId="0" fontId="2" fillId="0" borderId="0" xfId="0" applyFont="1" applyFill="1" applyBorder="1"/>
    <xf numFmtId="167" fontId="0" fillId="0" borderId="3" xfId="0" applyNumberFormat="1" applyBorder="1"/>
    <xf numFmtId="1" fontId="0" fillId="0" borderId="0" xfId="0" applyNumberFormat="1"/>
    <xf numFmtId="0" fontId="8" fillId="0" borderId="0" xfId="0" applyFont="1"/>
    <xf numFmtId="49" fontId="7" fillId="0" borderId="0" xfId="0" applyNumberFormat="1" applyFont="1" applyAlignment="1">
      <alignment wrapText="1"/>
    </xf>
    <xf numFmtId="2" fontId="0" fillId="0" borderId="26" xfId="0" applyNumberFormat="1" applyBorder="1"/>
    <xf numFmtId="0" fontId="0" fillId="0" borderId="0" xfId="0" applyAlignment="1">
      <alignment wrapText="1"/>
    </xf>
    <xf numFmtId="0" fontId="0" fillId="0" borderId="1" xfId="0" applyBorder="1" applyProtection="1">
      <protection locked="0"/>
    </xf>
    <xf numFmtId="10" fontId="0" fillId="0" borderId="1" xfId="0" applyNumberFormat="1" applyBorder="1" applyProtection="1">
      <protection locked="0"/>
    </xf>
    <xf numFmtId="0" fontId="0" fillId="0" borderId="27" xfId="0" applyBorder="1" applyProtection="1">
      <protection locked="0"/>
    </xf>
    <xf numFmtId="10" fontId="0" fillId="0" borderId="27" xfId="0" applyNumberFormat="1" applyBorder="1" applyProtection="1">
      <protection locked="0"/>
    </xf>
    <xf numFmtId="167" fontId="0" fillId="0" borderId="27" xfId="0" applyNumberFormat="1" applyBorder="1" applyProtection="1">
      <protection locked="0"/>
    </xf>
    <xf numFmtId="169" fontId="0" fillId="0" borderId="27" xfId="0" applyNumberFormat="1" applyBorder="1" applyProtection="1">
      <protection locked="0"/>
    </xf>
    <xf numFmtId="0" fontId="0" fillId="0" borderId="27" xfId="0" applyFill="1" applyBorder="1" applyProtection="1">
      <protection locked="0"/>
    </xf>
    <xf numFmtId="168" fontId="0" fillId="0" borderId="27" xfId="0" applyNumberFormat="1" applyBorder="1" applyProtection="1">
      <protection locked="0"/>
    </xf>
    <xf numFmtId="0" fontId="6" fillId="0" borderId="27" xfId="0" applyFont="1" applyBorder="1" applyProtection="1">
      <protection locked="0"/>
    </xf>
    <xf numFmtId="2" fontId="0" fillId="0" borderId="27" xfId="0" applyNumberFormat="1" applyBorder="1" applyProtection="1">
      <protection locked="0"/>
    </xf>
    <xf numFmtId="0" fontId="9" fillId="0" borderId="0" xfId="0" applyFont="1"/>
    <xf numFmtId="0" fontId="0" fillId="0" borderId="23" xfId="0" applyBorder="1" applyAlignment="1">
      <alignment horizontal="left"/>
    </xf>
    <xf numFmtId="0" fontId="0" fillId="0" borderId="18" xfId="0" applyBorder="1" applyAlignment="1">
      <alignment horizontal="left"/>
    </xf>
    <xf numFmtId="0" fontId="15" fillId="2" borderId="46" xfId="0" applyFont="1" applyFill="1" applyBorder="1" applyProtection="1">
      <protection locked="0"/>
    </xf>
    <xf numFmtId="0" fontId="15" fillId="2" borderId="59" xfId="0" applyFont="1" applyFill="1" applyBorder="1" applyProtection="1">
      <protection locked="0"/>
    </xf>
    <xf numFmtId="0" fontId="15" fillId="2" borderId="48" xfId="0" applyFont="1" applyFill="1" applyBorder="1" applyProtection="1">
      <protection locked="0"/>
    </xf>
    <xf numFmtId="170" fontId="15" fillId="2" borderId="60" xfId="0" applyNumberFormat="1" applyFont="1" applyFill="1" applyBorder="1" applyAlignment="1" applyProtection="1">
      <alignment horizontal="center"/>
      <protection locked="0"/>
    </xf>
    <xf numFmtId="170" fontId="15" fillId="2" borderId="61" xfId="0" applyNumberFormat="1" applyFont="1" applyFill="1" applyBorder="1" applyAlignment="1" applyProtection="1">
      <alignment horizontal="center"/>
      <protection locked="0"/>
    </xf>
    <xf numFmtId="170" fontId="15" fillId="2" borderId="62" xfId="0" applyNumberFormat="1" applyFont="1" applyFill="1" applyBorder="1" applyAlignment="1" applyProtection="1">
      <alignment horizontal="center"/>
      <protection locked="0"/>
    </xf>
    <xf numFmtId="170" fontId="15" fillId="2" borderId="63" xfId="0" applyNumberFormat="1" applyFont="1" applyFill="1" applyBorder="1" applyAlignment="1" applyProtection="1">
      <alignment horizontal="center"/>
      <protection locked="0"/>
    </xf>
    <xf numFmtId="3" fontId="15" fillId="2" borderId="56" xfId="0" applyNumberFormat="1" applyFont="1" applyFill="1" applyBorder="1" applyAlignment="1" applyProtection="1">
      <alignment horizontal="center" vertical="center"/>
      <protection locked="0"/>
    </xf>
    <xf numFmtId="170" fontId="15" fillId="2" borderId="64" xfId="0" applyNumberFormat="1" applyFont="1" applyFill="1" applyBorder="1" applyAlignment="1" applyProtection="1">
      <alignment horizontal="center"/>
      <protection locked="0"/>
    </xf>
    <xf numFmtId="170" fontId="15" fillId="2" borderId="43" xfId="0" applyNumberFormat="1" applyFont="1" applyFill="1" applyBorder="1" applyAlignment="1" applyProtection="1">
      <alignment horizontal="center"/>
      <protection locked="0"/>
    </xf>
    <xf numFmtId="170" fontId="15" fillId="2" borderId="42" xfId="0" applyNumberFormat="1" applyFont="1" applyFill="1" applyBorder="1" applyAlignment="1" applyProtection="1">
      <alignment horizontal="center"/>
      <protection locked="0"/>
    </xf>
    <xf numFmtId="170" fontId="15" fillId="2" borderId="65" xfId="0" applyNumberFormat="1" applyFont="1" applyFill="1" applyBorder="1" applyAlignment="1" applyProtection="1">
      <alignment horizontal="center"/>
      <protection locked="0"/>
    </xf>
    <xf numFmtId="10" fontId="15" fillId="2" borderId="60" xfId="1" applyNumberFormat="1" applyFont="1" applyFill="1" applyBorder="1" applyAlignment="1" applyProtection="1">
      <alignment horizontal="center"/>
      <protection locked="0"/>
    </xf>
    <xf numFmtId="10" fontId="15" fillId="2" borderId="60" xfId="0" applyNumberFormat="1" applyFont="1" applyFill="1" applyBorder="1" applyAlignment="1" applyProtection="1">
      <alignment horizontal="center"/>
      <protection locked="0"/>
    </xf>
    <xf numFmtId="10" fontId="15" fillId="2" borderId="62" xfId="0" applyNumberFormat="1" applyFont="1" applyFill="1" applyBorder="1" applyAlignment="1" applyProtection="1">
      <alignment horizontal="center"/>
      <protection locked="0"/>
    </xf>
    <xf numFmtId="170" fontId="15" fillId="2" borderId="68" xfId="0" applyNumberFormat="1" applyFont="1" applyFill="1" applyBorder="1" applyAlignment="1" applyProtection="1">
      <alignment horizontal="center"/>
      <protection locked="0"/>
    </xf>
    <xf numFmtId="170" fontId="15" fillId="2" borderId="69" xfId="0" applyNumberFormat="1" applyFont="1" applyFill="1" applyBorder="1" applyAlignment="1" applyProtection="1">
      <alignment horizontal="center"/>
      <protection locked="0"/>
    </xf>
    <xf numFmtId="10" fontId="15" fillId="2" borderId="68" xfId="1" applyNumberFormat="1" applyFont="1" applyFill="1" applyBorder="1" applyAlignment="1" applyProtection="1">
      <alignment horizontal="center"/>
      <protection locked="0"/>
    </xf>
    <xf numFmtId="2" fontId="15" fillId="2" borderId="69" xfId="0" applyNumberFormat="1" applyFont="1" applyFill="1" applyBorder="1" applyAlignment="1" applyProtection="1">
      <alignment horizontal="center"/>
      <protection locked="0"/>
    </xf>
    <xf numFmtId="0" fontId="0" fillId="0" borderId="0" xfId="0" applyProtection="1"/>
    <xf numFmtId="170" fontId="15" fillId="2" borderId="65" xfId="0" applyNumberFormat="1" applyFont="1" applyFill="1" applyBorder="1" applyAlignment="1" applyProtection="1">
      <alignment horizontal="center"/>
    </xf>
    <xf numFmtId="170" fontId="15" fillId="2" borderId="64" xfId="0" applyNumberFormat="1" applyFont="1" applyFill="1" applyBorder="1" applyAlignment="1" applyProtection="1">
      <alignment horizontal="center"/>
    </xf>
    <xf numFmtId="170" fontId="0" fillId="0" borderId="0" xfId="0" applyNumberFormat="1" applyProtection="1"/>
    <xf numFmtId="10" fontId="0" fillId="0" borderId="0" xfId="0" applyNumberFormat="1" applyProtection="1"/>
    <xf numFmtId="164" fontId="0" fillId="0" borderId="0" xfId="0" applyNumberFormat="1" applyProtection="1"/>
    <xf numFmtId="2" fontId="0" fillId="0" borderId="0" xfId="0" applyNumberFormat="1" applyProtection="1"/>
    <xf numFmtId="0" fontId="12" fillId="3" borderId="17" xfId="0" applyFont="1" applyFill="1" applyBorder="1" applyAlignment="1" applyProtection="1">
      <alignment horizontal="center" vertical="center" wrapText="1"/>
    </xf>
    <xf numFmtId="0" fontId="13" fillId="3" borderId="46"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xf>
    <xf numFmtId="0" fontId="13" fillId="3" borderId="49" xfId="0" applyFont="1" applyFill="1" applyBorder="1" applyAlignment="1" applyProtection="1">
      <alignment horizontal="center" vertical="center" textRotation="90" wrapText="1"/>
    </xf>
    <xf numFmtId="0" fontId="13" fillId="3" borderId="30" xfId="0" applyFont="1" applyFill="1" applyBorder="1" applyAlignment="1" applyProtection="1">
      <alignment horizontal="center" vertical="center" textRotation="90" wrapText="1"/>
    </xf>
    <xf numFmtId="0" fontId="13" fillId="3" borderId="23" xfId="0" applyFont="1" applyFill="1" applyBorder="1" applyAlignment="1" applyProtection="1">
      <alignment horizontal="center" vertical="center" textRotation="90" wrapText="1"/>
    </xf>
    <xf numFmtId="0" fontId="13" fillId="3" borderId="34" xfId="0" applyFont="1" applyFill="1" applyBorder="1" applyAlignment="1" applyProtection="1">
      <alignment horizontal="center" vertical="center" textRotation="90" wrapText="1"/>
    </xf>
    <xf numFmtId="0" fontId="13" fillId="3" borderId="35" xfId="0" applyFont="1" applyFill="1" applyBorder="1" applyAlignment="1" applyProtection="1">
      <alignment horizontal="center" vertical="center" textRotation="90" wrapText="1"/>
    </xf>
    <xf numFmtId="170" fontId="13" fillId="3" borderId="51" xfId="0" applyNumberFormat="1" applyFont="1" applyFill="1" applyBorder="1" applyAlignment="1" applyProtection="1">
      <alignment horizontal="center" vertical="center" textRotation="90" wrapText="1"/>
    </xf>
    <xf numFmtId="170" fontId="13" fillId="3" borderId="36" xfId="0" applyNumberFormat="1" applyFont="1" applyFill="1" applyBorder="1" applyAlignment="1" applyProtection="1">
      <alignment horizontal="center" vertical="center" textRotation="90" wrapText="1"/>
    </xf>
    <xf numFmtId="0" fontId="13" fillId="3" borderId="34" xfId="0" applyFont="1" applyFill="1" applyBorder="1" applyAlignment="1" applyProtection="1">
      <alignment horizontal="center" vertical="center" wrapText="1"/>
    </xf>
    <xf numFmtId="0" fontId="13" fillId="3" borderId="36"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3" borderId="0" xfId="0" applyFont="1" applyFill="1" applyBorder="1" applyAlignment="1" applyProtection="1">
      <alignment horizontal="center" vertical="center" wrapText="1"/>
    </xf>
    <xf numFmtId="0" fontId="13" fillId="3" borderId="55" xfId="0" applyFont="1" applyFill="1" applyBorder="1" applyAlignment="1" applyProtection="1">
      <alignment horizontal="center" vertical="center" wrapText="1"/>
    </xf>
    <xf numFmtId="170" fontId="13" fillId="3" borderId="55" xfId="0" applyNumberFormat="1" applyFont="1" applyFill="1" applyBorder="1" applyAlignment="1" applyProtection="1">
      <alignment horizontal="center"/>
    </xf>
    <xf numFmtId="170" fontId="13" fillId="3" borderId="33" xfId="0" applyNumberFormat="1" applyFont="1" applyFill="1" applyBorder="1" applyAlignment="1" applyProtection="1">
      <alignment horizontal="center"/>
    </xf>
    <xf numFmtId="0" fontId="12" fillId="3" borderId="19" xfId="0" applyFont="1" applyFill="1" applyBorder="1" applyAlignment="1" applyProtection="1">
      <alignment horizontal="left" vertical="center" wrapText="1"/>
    </xf>
    <xf numFmtId="170" fontId="14" fillId="3" borderId="54" xfId="0" applyNumberFormat="1" applyFont="1" applyFill="1" applyBorder="1" applyAlignment="1" applyProtection="1">
      <alignment horizontal="center"/>
    </xf>
    <xf numFmtId="170" fontId="14" fillId="3" borderId="28" xfId="0" applyNumberFormat="1" applyFont="1" applyFill="1" applyBorder="1" applyAlignment="1" applyProtection="1">
      <alignment horizontal="center"/>
    </xf>
    <xf numFmtId="0" fontId="15" fillId="2" borderId="72" xfId="0" applyFont="1" applyFill="1" applyBorder="1" applyProtection="1">
      <protection locked="0"/>
    </xf>
    <xf numFmtId="170" fontId="15" fillId="2" borderId="73" xfId="0" applyNumberFormat="1" applyFont="1" applyFill="1" applyBorder="1" applyAlignment="1" applyProtection="1">
      <alignment horizontal="center"/>
      <protection locked="0"/>
    </xf>
    <xf numFmtId="170" fontId="15" fillId="2" borderId="74" xfId="0" applyNumberFormat="1" applyFont="1" applyFill="1" applyBorder="1" applyAlignment="1" applyProtection="1">
      <alignment horizontal="center"/>
      <protection locked="0"/>
    </xf>
    <xf numFmtId="10" fontId="15" fillId="2" borderId="73" xfId="1" applyNumberFormat="1" applyFont="1" applyFill="1" applyBorder="1" applyAlignment="1" applyProtection="1">
      <alignment horizontal="center"/>
      <protection locked="0"/>
    </xf>
    <xf numFmtId="170" fontId="15" fillId="2" borderId="42" xfId="0" applyNumberFormat="1" applyFont="1" applyFill="1" applyBorder="1" applyAlignment="1" applyProtection="1">
      <alignment horizontal="center"/>
    </xf>
    <xf numFmtId="170" fontId="14" fillId="3" borderId="67" xfId="0" applyNumberFormat="1" applyFont="1" applyFill="1" applyBorder="1" applyAlignment="1" applyProtection="1">
      <alignment horizontal="center"/>
    </xf>
    <xf numFmtId="170" fontId="14" fillId="3" borderId="29" xfId="0" applyNumberFormat="1" applyFont="1" applyFill="1" applyBorder="1" applyAlignment="1" applyProtection="1">
      <alignment horizontal="center"/>
    </xf>
    <xf numFmtId="170" fontId="15" fillId="3" borderId="31" xfId="0" applyNumberFormat="1" applyFont="1" applyFill="1" applyBorder="1" applyAlignment="1" applyProtection="1">
      <alignment horizontal="center"/>
    </xf>
    <xf numFmtId="170" fontId="14" fillId="3" borderId="45" xfId="0" applyNumberFormat="1" applyFont="1" applyFill="1" applyBorder="1" applyAlignment="1" applyProtection="1">
      <alignment horizontal="center"/>
    </xf>
    <xf numFmtId="10" fontId="14" fillId="3" borderId="45" xfId="0" applyNumberFormat="1" applyFont="1" applyFill="1" applyBorder="1" applyAlignment="1" applyProtection="1">
      <alignment horizontal="center"/>
    </xf>
    <xf numFmtId="164" fontId="14" fillId="3" borderId="45" xfId="0" applyNumberFormat="1" applyFont="1" applyFill="1" applyBorder="1" applyAlignment="1" applyProtection="1">
      <alignment horizontal="center"/>
    </xf>
    <xf numFmtId="2" fontId="14" fillId="3" borderId="45" xfId="0" applyNumberFormat="1" applyFont="1" applyFill="1" applyBorder="1" applyAlignment="1" applyProtection="1">
      <alignment horizontal="center"/>
    </xf>
    <xf numFmtId="164" fontId="14" fillId="3" borderId="11" xfId="0" applyNumberFormat="1" applyFont="1" applyFill="1" applyBorder="1" applyAlignment="1" applyProtection="1">
      <alignment horizontal="center"/>
    </xf>
    <xf numFmtId="3" fontId="14" fillId="3" borderId="31" xfId="0" applyNumberFormat="1" applyFont="1" applyFill="1" applyBorder="1" applyAlignment="1" applyProtection="1">
      <alignment horizontal="center"/>
    </xf>
    <xf numFmtId="170" fontId="15" fillId="3" borderId="37" xfId="0" applyNumberFormat="1" applyFont="1" applyFill="1" applyBorder="1" applyAlignment="1" applyProtection="1">
      <alignment horizontal="center"/>
    </xf>
    <xf numFmtId="170" fontId="14" fillId="3" borderId="32" xfId="0" applyNumberFormat="1" applyFont="1" applyFill="1" applyBorder="1" applyAlignment="1" applyProtection="1">
      <alignment horizontal="center"/>
    </xf>
    <xf numFmtId="10" fontId="14" fillId="3" borderId="32" xfId="0" applyNumberFormat="1" applyFont="1" applyFill="1" applyBorder="1" applyAlignment="1" applyProtection="1">
      <alignment horizontal="center"/>
    </xf>
    <xf numFmtId="164" fontId="14" fillId="3" borderId="32" xfId="0" applyNumberFormat="1" applyFont="1" applyFill="1" applyBorder="1" applyAlignment="1" applyProtection="1">
      <alignment horizontal="center"/>
    </xf>
    <xf numFmtId="2" fontId="14" fillId="3" borderId="32" xfId="0" applyNumberFormat="1" applyFont="1" applyFill="1" applyBorder="1" applyAlignment="1" applyProtection="1">
      <alignment horizontal="center"/>
    </xf>
    <xf numFmtId="164" fontId="14" fillId="3" borderId="25" xfId="0" applyNumberFormat="1" applyFont="1" applyFill="1" applyBorder="1" applyAlignment="1" applyProtection="1">
      <alignment horizontal="center"/>
    </xf>
    <xf numFmtId="170" fontId="14" fillId="3" borderId="39" xfId="0" applyNumberFormat="1" applyFont="1" applyFill="1" applyBorder="1" applyAlignment="1" applyProtection="1">
      <alignment horizontal="center"/>
    </xf>
    <xf numFmtId="10" fontId="14" fillId="3" borderId="39" xfId="0" applyNumberFormat="1" applyFont="1" applyFill="1" applyBorder="1" applyAlignment="1" applyProtection="1">
      <alignment horizontal="center"/>
    </xf>
    <xf numFmtId="164" fontId="14" fillId="3" borderId="39" xfId="0" applyNumberFormat="1" applyFont="1" applyFill="1" applyBorder="1" applyAlignment="1" applyProtection="1">
      <alignment horizontal="center"/>
    </xf>
    <xf numFmtId="2" fontId="14" fillId="3" borderId="39" xfId="0" applyNumberFormat="1" applyFont="1" applyFill="1" applyBorder="1" applyAlignment="1" applyProtection="1">
      <alignment horizontal="center"/>
    </xf>
    <xf numFmtId="3" fontId="14" fillId="3" borderId="50" xfId="0" applyNumberFormat="1" applyFont="1" applyFill="1" applyBorder="1" applyAlignment="1" applyProtection="1">
      <alignment horizontal="center"/>
    </xf>
    <xf numFmtId="170" fontId="14" fillId="3" borderId="53" xfId="0" applyNumberFormat="1" applyFont="1" applyFill="1" applyBorder="1" applyAlignment="1" applyProtection="1">
      <alignment horizontal="center"/>
    </xf>
    <xf numFmtId="10" fontId="14" fillId="3" borderId="53" xfId="0" applyNumberFormat="1" applyFont="1" applyFill="1" applyBorder="1" applyAlignment="1" applyProtection="1">
      <alignment horizontal="center"/>
    </xf>
    <xf numFmtId="164" fontId="14" fillId="3" borderId="53" xfId="0" applyNumberFormat="1" applyFont="1" applyFill="1" applyBorder="1" applyAlignment="1" applyProtection="1">
      <alignment horizontal="center"/>
    </xf>
    <xf numFmtId="2" fontId="14" fillId="3" borderId="53" xfId="0" applyNumberFormat="1" applyFont="1" applyFill="1" applyBorder="1" applyAlignment="1" applyProtection="1">
      <alignment horizontal="center"/>
    </xf>
    <xf numFmtId="164" fontId="14" fillId="3" borderId="70" xfId="0" applyNumberFormat="1" applyFont="1" applyFill="1" applyBorder="1" applyAlignment="1" applyProtection="1">
      <alignment horizontal="center"/>
    </xf>
    <xf numFmtId="3" fontId="14" fillId="3" borderId="52" xfId="0" applyNumberFormat="1" applyFont="1" applyFill="1" applyBorder="1" applyAlignment="1" applyProtection="1">
      <alignment horizontal="center"/>
    </xf>
    <xf numFmtId="3" fontId="14" fillId="3" borderId="37" xfId="0" applyNumberFormat="1" applyFont="1" applyFill="1" applyBorder="1" applyAlignment="1" applyProtection="1">
      <alignment horizontal="center"/>
    </xf>
    <xf numFmtId="170" fontId="15" fillId="3" borderId="66" xfId="0" applyNumberFormat="1" applyFont="1" applyFill="1" applyBorder="1" applyAlignment="1" applyProtection="1">
      <alignment horizontal="center"/>
    </xf>
    <xf numFmtId="170" fontId="14" fillId="3" borderId="44" xfId="0" applyNumberFormat="1" applyFont="1" applyFill="1" applyBorder="1" applyAlignment="1" applyProtection="1">
      <alignment horizontal="center"/>
    </xf>
    <xf numFmtId="10" fontId="14" fillId="3" borderId="44" xfId="0" applyNumberFormat="1" applyFont="1" applyFill="1" applyBorder="1" applyAlignment="1" applyProtection="1">
      <alignment horizontal="center"/>
    </xf>
    <xf numFmtId="164" fontId="14" fillId="3" borderId="44" xfId="0" applyNumberFormat="1" applyFont="1" applyFill="1" applyBorder="1" applyAlignment="1" applyProtection="1">
      <alignment horizontal="center"/>
    </xf>
    <xf numFmtId="2" fontId="14" fillId="3" borderId="44" xfId="0" applyNumberFormat="1" applyFont="1" applyFill="1" applyBorder="1" applyAlignment="1" applyProtection="1">
      <alignment horizontal="center"/>
    </xf>
    <xf numFmtId="164" fontId="14" fillId="3" borderId="6" xfId="0" applyNumberFormat="1" applyFont="1" applyFill="1" applyBorder="1" applyAlignment="1" applyProtection="1">
      <alignment horizontal="center"/>
    </xf>
    <xf numFmtId="3" fontId="14" fillId="3" borderId="66" xfId="0" applyNumberFormat="1" applyFont="1" applyFill="1" applyBorder="1" applyAlignment="1" applyProtection="1">
      <alignment horizontal="center"/>
    </xf>
    <xf numFmtId="3" fontId="12" fillId="2" borderId="18" xfId="0" applyNumberFormat="1" applyFont="1" applyFill="1" applyBorder="1" applyAlignment="1" applyProtection="1">
      <alignment horizontal="center" vertical="center"/>
    </xf>
    <xf numFmtId="170" fontId="15" fillId="2" borderId="43" xfId="0" applyNumberFormat="1" applyFont="1" applyFill="1" applyBorder="1" applyAlignment="1" applyProtection="1">
      <alignment horizontal="center"/>
    </xf>
    <xf numFmtId="170" fontId="15" fillId="3" borderId="38" xfId="0" applyNumberFormat="1" applyFont="1" applyFill="1" applyBorder="1" applyAlignment="1" applyProtection="1">
      <alignment horizontal="center"/>
    </xf>
    <xf numFmtId="164" fontId="14" fillId="3" borderId="41" xfId="0" applyNumberFormat="1" applyFont="1" applyFill="1" applyBorder="1" applyAlignment="1" applyProtection="1">
      <alignment horizontal="center"/>
    </xf>
    <xf numFmtId="170" fontId="14" fillId="3" borderId="40" xfId="0" applyNumberFormat="1" applyFont="1" applyFill="1" applyBorder="1" applyAlignment="1" applyProtection="1">
      <alignment horizontal="center"/>
    </xf>
    <xf numFmtId="0" fontId="14" fillId="3" borderId="14" xfId="0" applyFont="1" applyFill="1" applyBorder="1" applyProtection="1"/>
    <xf numFmtId="170" fontId="14" fillId="3" borderId="34" xfId="0" applyNumberFormat="1" applyFont="1" applyFill="1" applyBorder="1" applyAlignment="1" applyProtection="1">
      <alignment horizontal="center"/>
    </xf>
    <xf numFmtId="170" fontId="14" fillId="3" borderId="36" xfId="0" applyNumberFormat="1" applyFont="1" applyFill="1" applyBorder="1" applyAlignment="1" applyProtection="1">
      <alignment horizontal="center"/>
    </xf>
    <xf numFmtId="170" fontId="15" fillId="3" borderId="15" xfId="0" applyNumberFormat="1" applyFont="1" applyFill="1" applyBorder="1" applyAlignment="1" applyProtection="1">
      <alignment horizontal="center"/>
    </xf>
    <xf numFmtId="10" fontId="15" fillId="3" borderId="34" xfId="1" applyNumberFormat="1" applyFont="1" applyFill="1" applyBorder="1" applyAlignment="1" applyProtection="1">
      <alignment horizontal="center"/>
    </xf>
    <xf numFmtId="2" fontId="14" fillId="3" borderId="36" xfId="0" applyNumberFormat="1" applyFont="1" applyFill="1" applyBorder="1" applyAlignment="1" applyProtection="1">
      <alignment horizontal="center"/>
    </xf>
    <xf numFmtId="170" fontId="15" fillId="3" borderId="34" xfId="0" applyNumberFormat="1" applyFont="1" applyFill="1" applyBorder="1" applyAlignment="1" applyProtection="1">
      <alignment horizontal="center"/>
    </xf>
    <xf numFmtId="168" fontId="14" fillId="3" borderId="35" xfId="0" applyNumberFormat="1" applyFont="1" applyFill="1" applyBorder="1" applyAlignment="1" applyProtection="1">
      <alignment horizontal="center"/>
    </xf>
    <xf numFmtId="10" fontId="14" fillId="3" borderId="35" xfId="0" applyNumberFormat="1" applyFont="1" applyFill="1" applyBorder="1" applyAlignment="1" applyProtection="1">
      <alignment horizontal="center"/>
    </xf>
    <xf numFmtId="164" fontId="14" fillId="3" borderId="35" xfId="0" applyNumberFormat="1" applyFont="1" applyFill="1" applyBorder="1" applyAlignment="1" applyProtection="1">
      <alignment horizontal="center"/>
    </xf>
    <xf numFmtId="2" fontId="14" fillId="3" borderId="35" xfId="0" applyNumberFormat="1" applyFont="1" applyFill="1" applyBorder="1" applyAlignment="1" applyProtection="1">
      <alignment horizontal="center"/>
    </xf>
    <xf numFmtId="164" fontId="14" fillId="3" borderId="71" xfId="0" applyNumberFormat="1" applyFont="1" applyFill="1" applyBorder="1" applyAlignment="1" applyProtection="1">
      <alignment horizontal="center"/>
    </xf>
    <xf numFmtId="0" fontId="15" fillId="3" borderId="16" xfId="0" applyFont="1" applyFill="1" applyBorder="1" applyAlignment="1" applyProtection="1">
      <alignment horizontal="left" vertical="center" wrapText="1"/>
    </xf>
    <xf numFmtId="0" fontId="13" fillId="3" borderId="47" xfId="0" applyFont="1" applyFill="1" applyBorder="1" applyAlignment="1" applyProtection="1">
      <alignment horizontal="center" vertical="center" wrapText="1"/>
    </xf>
    <xf numFmtId="2" fontId="0" fillId="0" borderId="0" xfId="0" applyNumberFormat="1" applyFill="1" applyBorder="1"/>
    <xf numFmtId="2" fontId="0" fillId="0" borderId="20" xfId="0" applyNumberFormat="1" applyBorder="1"/>
    <xf numFmtId="2" fontId="0" fillId="0" borderId="21" xfId="0" applyNumberFormat="1" applyBorder="1"/>
    <xf numFmtId="2" fontId="0" fillId="0" borderId="20" xfId="0" applyNumberFormat="1" applyFill="1" applyBorder="1"/>
    <xf numFmtId="2" fontId="0" fillId="0" borderId="21" xfId="0" applyNumberFormat="1" applyFill="1" applyBorder="1"/>
    <xf numFmtId="164" fontId="0" fillId="0" borderId="20" xfId="0" applyNumberFormat="1" applyBorder="1"/>
    <xf numFmtId="0" fontId="0" fillId="0" borderId="56" xfId="0" applyBorder="1" applyProtection="1">
      <protection locked="0"/>
    </xf>
    <xf numFmtId="0" fontId="0" fillId="0" borderId="21" xfId="0" quotePrefix="1" applyBorder="1"/>
    <xf numFmtId="0" fontId="16" fillId="0" borderId="21" xfId="0" applyFont="1" applyBorder="1"/>
    <xf numFmtId="0" fontId="0" fillId="0" borderId="0" xfId="0" quotePrefix="1"/>
    <xf numFmtId="0" fontId="0" fillId="0" borderId="0" xfId="0" quotePrefix="1" applyBorder="1"/>
    <xf numFmtId="0" fontId="0" fillId="0" borderId="75" xfId="0" applyBorder="1"/>
    <xf numFmtId="0" fontId="0" fillId="0" borderId="76" xfId="0" applyBorder="1"/>
    <xf numFmtId="2" fontId="0" fillId="0" borderId="12" xfId="0" applyNumberFormat="1" applyBorder="1" applyAlignment="1">
      <alignment horizontal="right"/>
    </xf>
    <xf numFmtId="0" fontId="0" fillId="0" borderId="13" xfId="0" applyBorder="1" applyAlignment="1">
      <alignment horizontal="left"/>
    </xf>
    <xf numFmtId="171" fontId="12" fillId="2" borderId="57" xfId="0" applyNumberFormat="1" applyFont="1" applyFill="1" applyBorder="1" applyAlignment="1" applyProtection="1">
      <alignment horizontal="center" vertical="center"/>
      <protection locked="0"/>
    </xf>
    <xf numFmtId="171" fontId="12" fillId="2" borderId="58" xfId="0" applyNumberFormat="1" applyFont="1" applyFill="1" applyBorder="1" applyAlignment="1" applyProtection="1">
      <alignment horizontal="center" vertical="center"/>
      <protection locked="0"/>
    </xf>
    <xf numFmtId="3" fontId="12" fillId="3" borderId="18" xfId="0" applyNumberFormat="1" applyFont="1" applyFill="1" applyBorder="1" applyAlignment="1" applyProtection="1">
      <alignment horizontal="left" vertical="center" wrapText="1"/>
    </xf>
    <xf numFmtId="3" fontId="12" fillId="3" borderId="19" xfId="0" applyNumberFormat="1" applyFont="1" applyFill="1" applyBorder="1" applyAlignment="1" applyProtection="1">
      <alignment horizontal="left" vertical="center" wrapText="1"/>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cellXfs>
  <cellStyles count="2">
    <cellStyle name="Prozent" xfId="1" builtinId="5"/>
    <cellStyle name="Standard" xfId="0" builtinId="0"/>
  </cellStyles>
  <dxfs count="3">
    <dxf>
      <font>
        <b/>
        <i val="0"/>
        <condense val="0"/>
        <extend val="0"/>
        <color indexed="10"/>
      </font>
      <fill>
        <patternFill>
          <bgColor indexed="41"/>
        </patternFill>
      </fill>
    </dxf>
    <dxf>
      <fill>
        <patternFill>
          <bgColor indexed="1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0"/>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hx!$G$5:$G$255</c:f>
              <c:numCache>
                <c:formatCode>0.00</c:formatCode>
                <c:ptCount val="251"/>
                <c:pt idx="0">
                  <c:v>-20</c:v>
                </c:pt>
                <c:pt idx="1">
                  <c:v>-20.250050000000002</c:v>
                </c:pt>
                <c:pt idx="2">
                  <c:v>-20.5001</c:v>
                </c:pt>
                <c:pt idx="3">
                  <c:v>-20.750150000000001</c:v>
                </c:pt>
                <c:pt idx="4">
                  <c:v>-21.0002</c:v>
                </c:pt>
                <c:pt idx="5">
                  <c:v>-21.250250000000001</c:v>
                </c:pt>
                <c:pt idx="6">
                  <c:v>-21.500299999999999</c:v>
                </c:pt>
                <c:pt idx="7">
                  <c:v>-21.750350000000001</c:v>
                </c:pt>
                <c:pt idx="8">
                  <c:v>-22.000399999999999</c:v>
                </c:pt>
                <c:pt idx="9">
                  <c:v>-22.250450000000001</c:v>
                </c:pt>
                <c:pt idx="10">
                  <c:v>-22.500499999999999</c:v>
                </c:pt>
                <c:pt idx="11">
                  <c:v>-22.75055</c:v>
                </c:pt>
                <c:pt idx="12">
                  <c:v>-23.000599999999999</c:v>
                </c:pt>
                <c:pt idx="13">
                  <c:v>-23.25065</c:v>
                </c:pt>
                <c:pt idx="14">
                  <c:v>-23.500700000000002</c:v>
                </c:pt>
                <c:pt idx="15">
                  <c:v>-23.75075</c:v>
                </c:pt>
                <c:pt idx="16">
                  <c:v>-24.000799999999998</c:v>
                </c:pt>
                <c:pt idx="17">
                  <c:v>-24.25085</c:v>
                </c:pt>
                <c:pt idx="18">
                  <c:v>-24.500900000000001</c:v>
                </c:pt>
                <c:pt idx="19">
                  <c:v>-24.75095</c:v>
                </c:pt>
                <c:pt idx="20">
                  <c:v>-25.001000000000001</c:v>
                </c:pt>
                <c:pt idx="21">
                  <c:v>-25.251049999999999</c:v>
                </c:pt>
                <c:pt idx="22">
                  <c:v>-25.501100000000001</c:v>
                </c:pt>
                <c:pt idx="23">
                  <c:v>-25.751149999999999</c:v>
                </c:pt>
                <c:pt idx="24">
                  <c:v>-26.001200000000001</c:v>
                </c:pt>
                <c:pt idx="25">
                  <c:v>-26.251249999999999</c:v>
                </c:pt>
                <c:pt idx="26">
                  <c:v>-26.501300000000001</c:v>
                </c:pt>
                <c:pt idx="27">
                  <c:v>-26.751350000000002</c:v>
                </c:pt>
                <c:pt idx="28">
                  <c:v>-27.0014</c:v>
                </c:pt>
                <c:pt idx="29">
                  <c:v>-27.251449999999998</c:v>
                </c:pt>
                <c:pt idx="30">
                  <c:v>-27.5015</c:v>
                </c:pt>
                <c:pt idx="31">
                  <c:v>-27.751550000000002</c:v>
                </c:pt>
                <c:pt idx="32">
                  <c:v>-28.0016</c:v>
                </c:pt>
                <c:pt idx="33">
                  <c:v>-28.251649999999998</c:v>
                </c:pt>
                <c:pt idx="34">
                  <c:v>-28.5017</c:v>
                </c:pt>
                <c:pt idx="35">
                  <c:v>-28.751750000000001</c:v>
                </c:pt>
                <c:pt idx="36">
                  <c:v>-29.001799999999999</c:v>
                </c:pt>
                <c:pt idx="37">
                  <c:v>-29.251850000000001</c:v>
                </c:pt>
                <c:pt idx="38">
                  <c:v>-29.501899999999999</c:v>
                </c:pt>
                <c:pt idx="39">
                  <c:v>-29.751950000000001</c:v>
                </c:pt>
                <c:pt idx="40">
                  <c:v>-30.002000000000002</c:v>
                </c:pt>
                <c:pt idx="41">
                  <c:v>-30.252050000000001</c:v>
                </c:pt>
                <c:pt idx="42">
                  <c:v>-30.502099999999999</c:v>
                </c:pt>
                <c:pt idx="43">
                  <c:v>-30.75215</c:v>
                </c:pt>
                <c:pt idx="44">
                  <c:v>-31.002200000000002</c:v>
                </c:pt>
                <c:pt idx="45">
                  <c:v>-31.252249999999997</c:v>
                </c:pt>
                <c:pt idx="46">
                  <c:v>-31.502299999999998</c:v>
                </c:pt>
                <c:pt idx="47">
                  <c:v>-31.75235</c:v>
                </c:pt>
                <c:pt idx="48">
                  <c:v>-32.002400000000002</c:v>
                </c:pt>
                <c:pt idx="49">
                  <c:v>-32.252449999999996</c:v>
                </c:pt>
                <c:pt idx="50">
                  <c:v>-32.502499999999998</c:v>
                </c:pt>
                <c:pt idx="51">
                  <c:v>-32.752549999999999</c:v>
                </c:pt>
                <c:pt idx="52">
                  <c:v>-33.002600000000001</c:v>
                </c:pt>
                <c:pt idx="53">
                  <c:v>-33.252650000000003</c:v>
                </c:pt>
                <c:pt idx="54">
                  <c:v>-33.502700000000004</c:v>
                </c:pt>
                <c:pt idx="55">
                  <c:v>-33.752749999999999</c:v>
                </c:pt>
                <c:pt idx="56">
                  <c:v>-34.002800000000001</c:v>
                </c:pt>
                <c:pt idx="57">
                  <c:v>-34.252850000000002</c:v>
                </c:pt>
                <c:pt idx="58">
                  <c:v>-34.502899999999997</c:v>
                </c:pt>
                <c:pt idx="59">
                  <c:v>-34.752949999999998</c:v>
                </c:pt>
                <c:pt idx="60">
                  <c:v>-35.003</c:v>
                </c:pt>
                <c:pt idx="61">
                  <c:v>-35.253050000000002</c:v>
                </c:pt>
                <c:pt idx="62">
                  <c:v>-35.503100000000003</c:v>
                </c:pt>
                <c:pt idx="63">
                  <c:v>-35.753149999999998</c:v>
                </c:pt>
                <c:pt idx="64">
                  <c:v>-36.0032</c:v>
                </c:pt>
                <c:pt idx="65">
                  <c:v>-36.253249999999994</c:v>
                </c:pt>
                <c:pt idx="66">
                  <c:v>-36.503299999999996</c:v>
                </c:pt>
                <c:pt idx="67">
                  <c:v>-36.753349999999998</c:v>
                </c:pt>
                <c:pt idx="68">
                  <c:v>-37.003399999999999</c:v>
                </c:pt>
                <c:pt idx="69">
                  <c:v>-37.253450000000001</c:v>
                </c:pt>
                <c:pt idx="70">
                  <c:v>-37.503500000000003</c:v>
                </c:pt>
                <c:pt idx="71">
                  <c:v>-37.753550000000004</c:v>
                </c:pt>
                <c:pt idx="72">
                  <c:v>-38.003599999999999</c:v>
                </c:pt>
                <c:pt idx="73">
                  <c:v>-38.25365</c:v>
                </c:pt>
                <c:pt idx="74">
                  <c:v>-38.503700000000002</c:v>
                </c:pt>
                <c:pt idx="75">
                  <c:v>-38.753749999999997</c:v>
                </c:pt>
                <c:pt idx="76">
                  <c:v>-39.003799999999998</c:v>
                </c:pt>
                <c:pt idx="77">
                  <c:v>-39.25385</c:v>
                </c:pt>
                <c:pt idx="78">
                  <c:v>-39.503900000000002</c:v>
                </c:pt>
                <c:pt idx="79">
                  <c:v>-39.753950000000003</c:v>
                </c:pt>
                <c:pt idx="80">
                  <c:v>-40.004000000000005</c:v>
                </c:pt>
                <c:pt idx="81">
                  <c:v>-40.254049999999999</c:v>
                </c:pt>
                <c:pt idx="82">
                  <c:v>-40.504100000000001</c:v>
                </c:pt>
                <c:pt idx="83">
                  <c:v>-40.754149999999996</c:v>
                </c:pt>
                <c:pt idx="84">
                  <c:v>-41.004199999999997</c:v>
                </c:pt>
                <c:pt idx="85">
                  <c:v>-41.254249999999999</c:v>
                </c:pt>
                <c:pt idx="86">
                  <c:v>-41.504300000000001</c:v>
                </c:pt>
                <c:pt idx="87">
                  <c:v>-41.754350000000002</c:v>
                </c:pt>
                <c:pt idx="88">
                  <c:v>-42.004400000000004</c:v>
                </c:pt>
                <c:pt idx="89">
                  <c:v>-42.254449999999999</c:v>
                </c:pt>
                <c:pt idx="90">
                  <c:v>-42.504499999999993</c:v>
                </c:pt>
                <c:pt idx="91">
                  <c:v>-42.754550000000002</c:v>
                </c:pt>
                <c:pt idx="92">
                  <c:v>-43.004599999999996</c:v>
                </c:pt>
                <c:pt idx="93">
                  <c:v>-43.254649999999998</c:v>
                </c:pt>
                <c:pt idx="94">
                  <c:v>-43.5047</c:v>
                </c:pt>
                <c:pt idx="95">
                  <c:v>-43.754750000000001</c:v>
                </c:pt>
                <c:pt idx="96">
                  <c:v>-44.004800000000003</c:v>
                </c:pt>
                <c:pt idx="97">
                  <c:v>-44.254850000000005</c:v>
                </c:pt>
                <c:pt idx="98">
                  <c:v>-44.504899999999999</c:v>
                </c:pt>
                <c:pt idx="99">
                  <c:v>-44.754950000000001</c:v>
                </c:pt>
                <c:pt idx="100">
                  <c:v>-45.004999999999995</c:v>
                </c:pt>
                <c:pt idx="101">
                  <c:v>-45.255049999999997</c:v>
                </c:pt>
                <c:pt idx="102">
                  <c:v>-45.505099999999999</c:v>
                </c:pt>
                <c:pt idx="103">
                  <c:v>-45.75515</c:v>
                </c:pt>
                <c:pt idx="104">
                  <c:v>-46.005200000000002</c:v>
                </c:pt>
                <c:pt idx="105">
                  <c:v>-46.255250000000004</c:v>
                </c:pt>
                <c:pt idx="106">
                  <c:v>-46.505300000000005</c:v>
                </c:pt>
                <c:pt idx="107">
                  <c:v>-46.75535</c:v>
                </c:pt>
                <c:pt idx="108">
                  <c:v>-47.005400000000002</c:v>
                </c:pt>
                <c:pt idx="109">
                  <c:v>-47.255449999999996</c:v>
                </c:pt>
                <c:pt idx="110">
                  <c:v>-47.505499999999998</c:v>
                </c:pt>
                <c:pt idx="111">
                  <c:v>-47.755549999999999</c:v>
                </c:pt>
                <c:pt idx="112">
                  <c:v>-48.005600000000001</c:v>
                </c:pt>
                <c:pt idx="113">
                  <c:v>-48.255650000000003</c:v>
                </c:pt>
                <c:pt idx="114">
                  <c:v>-48.505700000000004</c:v>
                </c:pt>
                <c:pt idx="115">
                  <c:v>-48.755749999999999</c:v>
                </c:pt>
                <c:pt idx="116">
                  <c:v>-49.005799999999994</c:v>
                </c:pt>
                <c:pt idx="117">
                  <c:v>-49.255850000000002</c:v>
                </c:pt>
                <c:pt idx="118">
                  <c:v>-49.505899999999997</c:v>
                </c:pt>
                <c:pt idx="119">
                  <c:v>-49.755949999999999</c:v>
                </c:pt>
                <c:pt idx="120">
                  <c:v>-50.006</c:v>
                </c:pt>
                <c:pt idx="121">
                  <c:v>-50.256050000000002</c:v>
                </c:pt>
                <c:pt idx="122">
                  <c:v>-50.506100000000004</c:v>
                </c:pt>
                <c:pt idx="123">
                  <c:v>-50.756150000000005</c:v>
                </c:pt>
                <c:pt idx="124">
                  <c:v>-51.0062</c:v>
                </c:pt>
                <c:pt idx="125">
                  <c:v>-51.256250000000001</c:v>
                </c:pt>
                <c:pt idx="126">
                  <c:v>-51.506299999999996</c:v>
                </c:pt>
                <c:pt idx="127">
                  <c:v>-51.756349999999998</c:v>
                </c:pt>
                <c:pt idx="128">
                  <c:v>-52.006399999999999</c:v>
                </c:pt>
                <c:pt idx="129">
                  <c:v>-52.256450000000001</c:v>
                </c:pt>
                <c:pt idx="130">
                  <c:v>-52.506499999999996</c:v>
                </c:pt>
                <c:pt idx="131">
                  <c:v>-52.756550000000004</c:v>
                </c:pt>
                <c:pt idx="132">
                  <c:v>-53.006599999999999</c:v>
                </c:pt>
                <c:pt idx="133">
                  <c:v>-53.25665</c:v>
                </c:pt>
                <c:pt idx="134">
                  <c:v>-53.506700000000002</c:v>
                </c:pt>
                <c:pt idx="135">
                  <c:v>-53.756749999999997</c:v>
                </c:pt>
                <c:pt idx="136">
                  <c:v>-54.006799999999998</c:v>
                </c:pt>
                <c:pt idx="137">
                  <c:v>-54.25685</c:v>
                </c:pt>
                <c:pt idx="138">
                  <c:v>-54.506900000000002</c:v>
                </c:pt>
                <c:pt idx="139">
                  <c:v>-54.756949999999996</c:v>
                </c:pt>
                <c:pt idx="140">
                  <c:v>-55.006999999999998</c:v>
                </c:pt>
                <c:pt idx="141">
                  <c:v>-55.25705</c:v>
                </c:pt>
                <c:pt idx="142">
                  <c:v>-55.507100000000001</c:v>
                </c:pt>
                <c:pt idx="143">
                  <c:v>-55.757150000000003</c:v>
                </c:pt>
                <c:pt idx="144">
                  <c:v>-56.007199999999997</c:v>
                </c:pt>
                <c:pt idx="145">
                  <c:v>-56.257249999999999</c:v>
                </c:pt>
                <c:pt idx="146">
                  <c:v>-56.507300000000001</c:v>
                </c:pt>
                <c:pt idx="147">
                  <c:v>-56.757349999999995</c:v>
                </c:pt>
                <c:pt idx="148">
                  <c:v>-57.007400000000004</c:v>
                </c:pt>
                <c:pt idx="149">
                  <c:v>-57.257449999999999</c:v>
                </c:pt>
                <c:pt idx="150">
                  <c:v>-57.5075</c:v>
                </c:pt>
                <c:pt idx="151">
                  <c:v>-57.757550000000002</c:v>
                </c:pt>
                <c:pt idx="152">
                  <c:v>-58.007599999999996</c:v>
                </c:pt>
                <c:pt idx="153">
                  <c:v>-58.257649999999998</c:v>
                </c:pt>
                <c:pt idx="154">
                  <c:v>-58.5077</c:v>
                </c:pt>
                <c:pt idx="155">
                  <c:v>-58.757750000000001</c:v>
                </c:pt>
                <c:pt idx="156">
                  <c:v>-59.007799999999996</c:v>
                </c:pt>
                <c:pt idx="157">
                  <c:v>-59.257849999999998</c:v>
                </c:pt>
                <c:pt idx="158">
                  <c:v>-59.507900000000006</c:v>
                </c:pt>
                <c:pt idx="159">
                  <c:v>-59.757950000000001</c:v>
                </c:pt>
                <c:pt idx="160">
                  <c:v>-60.008000000000003</c:v>
                </c:pt>
                <c:pt idx="161">
                  <c:v>-60.258049999999997</c:v>
                </c:pt>
                <c:pt idx="162">
                  <c:v>-60.508099999999999</c:v>
                </c:pt>
                <c:pt idx="163">
                  <c:v>-60.758149999999993</c:v>
                </c:pt>
                <c:pt idx="164">
                  <c:v>-61.008200000000002</c:v>
                </c:pt>
                <c:pt idx="165">
                  <c:v>-61.258250000000004</c:v>
                </c:pt>
                <c:pt idx="166">
                  <c:v>-61.508299999999998</c:v>
                </c:pt>
                <c:pt idx="167">
                  <c:v>-61.75835</c:v>
                </c:pt>
                <c:pt idx="168">
                  <c:v>-62.008399999999995</c:v>
                </c:pt>
                <c:pt idx="169">
                  <c:v>-62.258449999999996</c:v>
                </c:pt>
                <c:pt idx="170">
                  <c:v>-62.508500000000005</c:v>
                </c:pt>
                <c:pt idx="171">
                  <c:v>-62.75855</c:v>
                </c:pt>
                <c:pt idx="172">
                  <c:v>-63.008600000000001</c:v>
                </c:pt>
                <c:pt idx="173">
                  <c:v>-63.258649999999996</c:v>
                </c:pt>
                <c:pt idx="174">
                  <c:v>-63.508699999999997</c:v>
                </c:pt>
                <c:pt idx="175">
                  <c:v>-63.758750000000006</c:v>
                </c:pt>
                <c:pt idx="176">
                  <c:v>-64.008800000000008</c:v>
                </c:pt>
                <c:pt idx="177">
                  <c:v>-64.258849999999995</c:v>
                </c:pt>
                <c:pt idx="178">
                  <c:v>-64.508899999999997</c:v>
                </c:pt>
                <c:pt idx="179">
                  <c:v>-64.758949999999999</c:v>
                </c:pt>
                <c:pt idx="180">
                  <c:v>-65.008999999999986</c:v>
                </c:pt>
                <c:pt idx="181">
                  <c:v>-65.259050000000002</c:v>
                </c:pt>
                <c:pt idx="182">
                  <c:v>-65.509100000000004</c:v>
                </c:pt>
                <c:pt idx="183">
                  <c:v>-65.759150000000005</c:v>
                </c:pt>
                <c:pt idx="184">
                  <c:v>-66.009199999999993</c:v>
                </c:pt>
                <c:pt idx="185">
                  <c:v>-66.259249999999994</c:v>
                </c:pt>
                <c:pt idx="186">
                  <c:v>-66.509299999999996</c:v>
                </c:pt>
                <c:pt idx="187">
                  <c:v>-66.759350000000012</c:v>
                </c:pt>
                <c:pt idx="188">
                  <c:v>-67.009399999999999</c:v>
                </c:pt>
                <c:pt idx="189">
                  <c:v>-67.259450000000001</c:v>
                </c:pt>
                <c:pt idx="190">
                  <c:v>-67.509500000000003</c:v>
                </c:pt>
                <c:pt idx="191">
                  <c:v>-67.75954999999999</c:v>
                </c:pt>
                <c:pt idx="192">
                  <c:v>-68.009600000000006</c:v>
                </c:pt>
                <c:pt idx="193">
                  <c:v>-68.259649999999993</c:v>
                </c:pt>
                <c:pt idx="194">
                  <c:v>-68.509700000000009</c:v>
                </c:pt>
                <c:pt idx="195">
                  <c:v>-68.759749999999997</c:v>
                </c:pt>
                <c:pt idx="196">
                  <c:v>-69.009799999999998</c:v>
                </c:pt>
                <c:pt idx="197">
                  <c:v>-69.25985</c:v>
                </c:pt>
                <c:pt idx="198">
                  <c:v>-69.509900000000002</c:v>
                </c:pt>
                <c:pt idx="199">
                  <c:v>-69.759950000000003</c:v>
                </c:pt>
                <c:pt idx="200">
                  <c:v>-70.009999999999991</c:v>
                </c:pt>
                <c:pt idx="201">
                  <c:v>-70.260050000000007</c:v>
                </c:pt>
                <c:pt idx="202">
                  <c:v>-70.510099999999994</c:v>
                </c:pt>
                <c:pt idx="203">
                  <c:v>-70.760149999999996</c:v>
                </c:pt>
                <c:pt idx="204">
                  <c:v>-71.010199999999998</c:v>
                </c:pt>
                <c:pt idx="205">
                  <c:v>-71.260249999999999</c:v>
                </c:pt>
                <c:pt idx="206">
                  <c:v>-71.510300000000001</c:v>
                </c:pt>
                <c:pt idx="207">
                  <c:v>-71.760350000000003</c:v>
                </c:pt>
                <c:pt idx="208">
                  <c:v>-72.010400000000004</c:v>
                </c:pt>
                <c:pt idx="209">
                  <c:v>-72.260449999999992</c:v>
                </c:pt>
                <c:pt idx="210">
                  <c:v>-72.510500000000008</c:v>
                </c:pt>
                <c:pt idx="211">
                  <c:v>-72.760549999999995</c:v>
                </c:pt>
                <c:pt idx="212">
                  <c:v>-73.010600000000011</c:v>
                </c:pt>
                <c:pt idx="213">
                  <c:v>-73.260649999999998</c:v>
                </c:pt>
                <c:pt idx="214">
                  <c:v>-73.5107</c:v>
                </c:pt>
                <c:pt idx="215">
                  <c:v>-73.760750000000002</c:v>
                </c:pt>
                <c:pt idx="216">
                  <c:v>-74.010800000000003</c:v>
                </c:pt>
                <c:pt idx="217">
                  <c:v>-74.260850000000005</c:v>
                </c:pt>
                <c:pt idx="218">
                  <c:v>-74.510899999999992</c:v>
                </c:pt>
                <c:pt idx="219">
                  <c:v>-74.760950000000008</c:v>
                </c:pt>
                <c:pt idx="220">
                  <c:v>-75.010999999999996</c:v>
                </c:pt>
                <c:pt idx="221">
                  <c:v>-75.261050000000012</c:v>
                </c:pt>
                <c:pt idx="222">
                  <c:v>-75.511099999999999</c:v>
                </c:pt>
                <c:pt idx="223">
                  <c:v>-75.761150000000001</c:v>
                </c:pt>
                <c:pt idx="224">
                  <c:v>-76.011200000000002</c:v>
                </c:pt>
                <c:pt idx="225">
                  <c:v>-76.26124999999999</c:v>
                </c:pt>
                <c:pt idx="226">
                  <c:v>-76.511300000000006</c:v>
                </c:pt>
                <c:pt idx="227">
                  <c:v>-76.761349999999993</c:v>
                </c:pt>
                <c:pt idx="228">
                  <c:v>-77.011400000000009</c:v>
                </c:pt>
                <c:pt idx="229">
                  <c:v>-77.261449999999996</c:v>
                </c:pt>
                <c:pt idx="230">
                  <c:v>-77.511499999999998</c:v>
                </c:pt>
                <c:pt idx="231">
                  <c:v>-77.76155</c:v>
                </c:pt>
                <c:pt idx="232">
                  <c:v>-78.011599999999987</c:v>
                </c:pt>
                <c:pt idx="233">
                  <c:v>-78.261650000000003</c:v>
                </c:pt>
                <c:pt idx="234">
                  <c:v>-78.511700000000005</c:v>
                </c:pt>
                <c:pt idx="235">
                  <c:v>-78.761750000000006</c:v>
                </c:pt>
                <c:pt idx="236">
                  <c:v>-79.011799999999994</c:v>
                </c:pt>
                <c:pt idx="237">
                  <c:v>-79.261849999999995</c:v>
                </c:pt>
                <c:pt idx="238">
                  <c:v>-79.511899999999997</c:v>
                </c:pt>
                <c:pt idx="239">
                  <c:v>-79.761950000000013</c:v>
                </c:pt>
                <c:pt idx="240">
                  <c:v>-80.012</c:v>
                </c:pt>
                <c:pt idx="241">
                  <c:v>-80.262050000000002</c:v>
                </c:pt>
                <c:pt idx="242">
                  <c:v>-80.512100000000004</c:v>
                </c:pt>
                <c:pt idx="243">
                  <c:v>-80.762149999999991</c:v>
                </c:pt>
                <c:pt idx="244">
                  <c:v>-81.012200000000007</c:v>
                </c:pt>
                <c:pt idx="245">
                  <c:v>-81.262249999999995</c:v>
                </c:pt>
                <c:pt idx="246">
                  <c:v>-81.51230000000001</c:v>
                </c:pt>
                <c:pt idx="247">
                  <c:v>-81.762349999999998</c:v>
                </c:pt>
                <c:pt idx="248">
                  <c:v>-82.0124</c:v>
                </c:pt>
                <c:pt idx="249">
                  <c:v>-82.262450000000001</c:v>
                </c:pt>
                <c:pt idx="250">
                  <c:v>-82.512500000000003</c:v>
                </c:pt>
              </c:numCache>
            </c:numRef>
          </c:yVal>
          <c:smooth val="1"/>
        </c:ser>
        <c:ser>
          <c:idx val="2"/>
          <c:order val="1"/>
          <c:spPr>
            <a:ln w="12700" cap="flat" cmpd="sng" algn="ctr">
              <a:solidFill>
                <a:schemeClr val="accent1"/>
              </a:solidFill>
              <a:prstDash val="solid"/>
            </a:ln>
            <a:effectLst/>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hx!$H$5:$H$255</c:f>
              <c:numCache>
                <c:formatCode>0.00</c:formatCode>
                <c:ptCount val="251"/>
                <c:pt idx="0">
                  <c:v>-10</c:v>
                </c:pt>
                <c:pt idx="1">
                  <c:v>-10.25005</c:v>
                </c:pt>
                <c:pt idx="2">
                  <c:v>-10.5001</c:v>
                </c:pt>
                <c:pt idx="3">
                  <c:v>-10.75015</c:v>
                </c:pt>
                <c:pt idx="4">
                  <c:v>-11.0002</c:v>
                </c:pt>
                <c:pt idx="5">
                  <c:v>-11.250249999999999</c:v>
                </c:pt>
                <c:pt idx="6">
                  <c:v>-11.500299999999999</c:v>
                </c:pt>
                <c:pt idx="7">
                  <c:v>-11.750350000000001</c:v>
                </c:pt>
                <c:pt idx="8">
                  <c:v>-12.000399999999999</c:v>
                </c:pt>
                <c:pt idx="9">
                  <c:v>-12.250450000000001</c:v>
                </c:pt>
                <c:pt idx="10">
                  <c:v>-12.500500000000001</c:v>
                </c:pt>
                <c:pt idx="11">
                  <c:v>-12.75055</c:v>
                </c:pt>
                <c:pt idx="12">
                  <c:v>-13.0006</c:v>
                </c:pt>
                <c:pt idx="13">
                  <c:v>-13.25065</c:v>
                </c:pt>
                <c:pt idx="14">
                  <c:v>-13.5007</c:v>
                </c:pt>
                <c:pt idx="15">
                  <c:v>-13.75075</c:v>
                </c:pt>
                <c:pt idx="16">
                  <c:v>-14.0008</c:v>
                </c:pt>
                <c:pt idx="17">
                  <c:v>-14.25085</c:v>
                </c:pt>
                <c:pt idx="18">
                  <c:v>-14.5009</c:v>
                </c:pt>
                <c:pt idx="19">
                  <c:v>-14.75095</c:v>
                </c:pt>
                <c:pt idx="20">
                  <c:v>-15.001000000000001</c:v>
                </c:pt>
                <c:pt idx="21">
                  <c:v>-15.251049999999999</c:v>
                </c:pt>
                <c:pt idx="22">
                  <c:v>-15.501100000000001</c:v>
                </c:pt>
                <c:pt idx="23">
                  <c:v>-15.751149999999999</c:v>
                </c:pt>
                <c:pt idx="24">
                  <c:v>-16.001200000000001</c:v>
                </c:pt>
                <c:pt idx="25">
                  <c:v>-16.251249999999999</c:v>
                </c:pt>
                <c:pt idx="26">
                  <c:v>-16.501300000000001</c:v>
                </c:pt>
                <c:pt idx="27">
                  <c:v>-16.751350000000002</c:v>
                </c:pt>
                <c:pt idx="28">
                  <c:v>-17.0014</c:v>
                </c:pt>
                <c:pt idx="29">
                  <c:v>-17.251449999999998</c:v>
                </c:pt>
                <c:pt idx="30">
                  <c:v>-17.5015</c:v>
                </c:pt>
                <c:pt idx="31">
                  <c:v>-17.751550000000002</c:v>
                </c:pt>
                <c:pt idx="32">
                  <c:v>-18.0016</c:v>
                </c:pt>
                <c:pt idx="33">
                  <c:v>-18.251649999999998</c:v>
                </c:pt>
                <c:pt idx="34">
                  <c:v>-18.5017</c:v>
                </c:pt>
                <c:pt idx="35">
                  <c:v>-18.751750000000001</c:v>
                </c:pt>
                <c:pt idx="36">
                  <c:v>-19.001799999999999</c:v>
                </c:pt>
                <c:pt idx="37">
                  <c:v>-19.251850000000001</c:v>
                </c:pt>
                <c:pt idx="38">
                  <c:v>-19.501899999999999</c:v>
                </c:pt>
                <c:pt idx="39">
                  <c:v>-19.751950000000001</c:v>
                </c:pt>
                <c:pt idx="40">
                  <c:v>-20.002000000000002</c:v>
                </c:pt>
                <c:pt idx="41">
                  <c:v>-20.252050000000001</c:v>
                </c:pt>
                <c:pt idx="42">
                  <c:v>-20.502099999999999</c:v>
                </c:pt>
                <c:pt idx="43">
                  <c:v>-20.75215</c:v>
                </c:pt>
                <c:pt idx="44">
                  <c:v>-21.002200000000002</c:v>
                </c:pt>
                <c:pt idx="45">
                  <c:v>-21.252249999999997</c:v>
                </c:pt>
                <c:pt idx="46">
                  <c:v>-21.502299999999998</c:v>
                </c:pt>
                <c:pt idx="47">
                  <c:v>-21.75235</c:v>
                </c:pt>
                <c:pt idx="48">
                  <c:v>-22.002400000000002</c:v>
                </c:pt>
                <c:pt idx="49">
                  <c:v>-22.25245</c:v>
                </c:pt>
                <c:pt idx="50">
                  <c:v>-22.502499999999998</c:v>
                </c:pt>
                <c:pt idx="51">
                  <c:v>-22.752549999999999</c:v>
                </c:pt>
                <c:pt idx="52">
                  <c:v>-23.002600000000001</c:v>
                </c:pt>
                <c:pt idx="53">
                  <c:v>-23.252650000000003</c:v>
                </c:pt>
                <c:pt idx="54">
                  <c:v>-23.502700000000001</c:v>
                </c:pt>
                <c:pt idx="55">
                  <c:v>-23.752749999999999</c:v>
                </c:pt>
                <c:pt idx="56">
                  <c:v>-24.002800000000001</c:v>
                </c:pt>
                <c:pt idx="57">
                  <c:v>-24.252850000000002</c:v>
                </c:pt>
                <c:pt idx="58">
                  <c:v>-24.502899999999997</c:v>
                </c:pt>
                <c:pt idx="59">
                  <c:v>-24.752949999999998</c:v>
                </c:pt>
                <c:pt idx="60">
                  <c:v>-25.003</c:v>
                </c:pt>
                <c:pt idx="61">
                  <c:v>-25.253050000000002</c:v>
                </c:pt>
                <c:pt idx="62">
                  <c:v>-25.5031</c:v>
                </c:pt>
                <c:pt idx="63">
                  <c:v>-25.753149999999998</c:v>
                </c:pt>
                <c:pt idx="64">
                  <c:v>-26.0032</c:v>
                </c:pt>
                <c:pt idx="65">
                  <c:v>-26.253249999999998</c:v>
                </c:pt>
                <c:pt idx="66">
                  <c:v>-26.503299999999999</c:v>
                </c:pt>
                <c:pt idx="67">
                  <c:v>-26.753350000000001</c:v>
                </c:pt>
                <c:pt idx="68">
                  <c:v>-27.003399999999999</c:v>
                </c:pt>
                <c:pt idx="69">
                  <c:v>-27.253450000000001</c:v>
                </c:pt>
                <c:pt idx="70">
                  <c:v>-27.503499999999999</c:v>
                </c:pt>
                <c:pt idx="71">
                  <c:v>-27.753550000000001</c:v>
                </c:pt>
                <c:pt idx="72">
                  <c:v>-28.003599999999999</c:v>
                </c:pt>
                <c:pt idx="73">
                  <c:v>-28.25365</c:v>
                </c:pt>
                <c:pt idx="74">
                  <c:v>-28.503700000000002</c:v>
                </c:pt>
                <c:pt idx="75">
                  <c:v>-28.75375</c:v>
                </c:pt>
                <c:pt idx="76">
                  <c:v>-29.003799999999998</c:v>
                </c:pt>
                <c:pt idx="77">
                  <c:v>-29.25385</c:v>
                </c:pt>
                <c:pt idx="78">
                  <c:v>-29.503899999999998</c:v>
                </c:pt>
                <c:pt idx="79">
                  <c:v>-29.753950000000003</c:v>
                </c:pt>
                <c:pt idx="80">
                  <c:v>-30.004000000000001</c:v>
                </c:pt>
                <c:pt idx="81">
                  <c:v>-30.254049999999999</c:v>
                </c:pt>
                <c:pt idx="82">
                  <c:v>-30.504100000000001</c:v>
                </c:pt>
                <c:pt idx="83">
                  <c:v>-30.754149999999999</c:v>
                </c:pt>
                <c:pt idx="84">
                  <c:v>-31.004199999999997</c:v>
                </c:pt>
                <c:pt idx="85">
                  <c:v>-31.254250000000003</c:v>
                </c:pt>
                <c:pt idx="86">
                  <c:v>-31.504300000000001</c:v>
                </c:pt>
                <c:pt idx="87">
                  <c:v>-31.754349999999999</c:v>
                </c:pt>
                <c:pt idx="88">
                  <c:v>-32.004400000000004</c:v>
                </c:pt>
                <c:pt idx="89">
                  <c:v>-32.254449999999999</c:v>
                </c:pt>
                <c:pt idx="90">
                  <c:v>-32.504499999999993</c:v>
                </c:pt>
                <c:pt idx="91">
                  <c:v>-32.754550000000002</c:v>
                </c:pt>
                <c:pt idx="92">
                  <c:v>-33.004599999999996</c:v>
                </c:pt>
                <c:pt idx="93">
                  <c:v>-33.254649999999998</c:v>
                </c:pt>
                <c:pt idx="94">
                  <c:v>-33.5047</c:v>
                </c:pt>
                <c:pt idx="95">
                  <c:v>-33.754750000000001</c:v>
                </c:pt>
                <c:pt idx="96">
                  <c:v>-34.004800000000003</c:v>
                </c:pt>
                <c:pt idx="97">
                  <c:v>-34.254850000000005</c:v>
                </c:pt>
                <c:pt idx="98">
                  <c:v>-34.504899999999999</c:v>
                </c:pt>
                <c:pt idx="99">
                  <c:v>-34.754950000000001</c:v>
                </c:pt>
                <c:pt idx="100">
                  <c:v>-35.004999999999995</c:v>
                </c:pt>
                <c:pt idx="101">
                  <c:v>-35.255049999999997</c:v>
                </c:pt>
                <c:pt idx="102">
                  <c:v>-35.505099999999999</c:v>
                </c:pt>
                <c:pt idx="103">
                  <c:v>-35.75515</c:v>
                </c:pt>
                <c:pt idx="104">
                  <c:v>-36.005200000000002</c:v>
                </c:pt>
                <c:pt idx="105">
                  <c:v>-36.255250000000004</c:v>
                </c:pt>
                <c:pt idx="106">
                  <c:v>-36.505300000000005</c:v>
                </c:pt>
                <c:pt idx="107">
                  <c:v>-36.75535</c:v>
                </c:pt>
                <c:pt idx="108">
                  <c:v>-37.005400000000002</c:v>
                </c:pt>
                <c:pt idx="109">
                  <c:v>-37.255449999999996</c:v>
                </c:pt>
                <c:pt idx="110">
                  <c:v>-37.505499999999998</c:v>
                </c:pt>
                <c:pt idx="111">
                  <c:v>-37.755549999999999</c:v>
                </c:pt>
                <c:pt idx="112">
                  <c:v>-38.005600000000001</c:v>
                </c:pt>
                <c:pt idx="113">
                  <c:v>-38.255650000000003</c:v>
                </c:pt>
                <c:pt idx="114">
                  <c:v>-38.505700000000004</c:v>
                </c:pt>
                <c:pt idx="115">
                  <c:v>-38.755749999999999</c:v>
                </c:pt>
                <c:pt idx="116">
                  <c:v>-39.005799999999994</c:v>
                </c:pt>
                <c:pt idx="117">
                  <c:v>-39.255850000000002</c:v>
                </c:pt>
                <c:pt idx="118">
                  <c:v>-39.505899999999997</c:v>
                </c:pt>
                <c:pt idx="119">
                  <c:v>-39.755949999999999</c:v>
                </c:pt>
                <c:pt idx="120">
                  <c:v>-40.006</c:v>
                </c:pt>
                <c:pt idx="121">
                  <c:v>-40.256050000000002</c:v>
                </c:pt>
                <c:pt idx="122">
                  <c:v>-40.506100000000004</c:v>
                </c:pt>
                <c:pt idx="123">
                  <c:v>-40.756150000000005</c:v>
                </c:pt>
                <c:pt idx="124">
                  <c:v>-41.0062</c:v>
                </c:pt>
                <c:pt idx="125">
                  <c:v>-41.256250000000001</c:v>
                </c:pt>
                <c:pt idx="126">
                  <c:v>-41.506299999999996</c:v>
                </c:pt>
                <c:pt idx="127">
                  <c:v>-41.756349999999998</c:v>
                </c:pt>
                <c:pt idx="128">
                  <c:v>-42.006399999999999</c:v>
                </c:pt>
                <c:pt idx="129">
                  <c:v>-42.256450000000001</c:v>
                </c:pt>
                <c:pt idx="130">
                  <c:v>-42.506499999999996</c:v>
                </c:pt>
                <c:pt idx="131">
                  <c:v>-42.756550000000004</c:v>
                </c:pt>
                <c:pt idx="132">
                  <c:v>-43.006599999999999</c:v>
                </c:pt>
                <c:pt idx="133">
                  <c:v>-43.25665</c:v>
                </c:pt>
                <c:pt idx="134">
                  <c:v>-43.506700000000002</c:v>
                </c:pt>
                <c:pt idx="135">
                  <c:v>-43.756749999999997</c:v>
                </c:pt>
                <c:pt idx="136">
                  <c:v>-44.006799999999998</c:v>
                </c:pt>
                <c:pt idx="137">
                  <c:v>-44.25685</c:v>
                </c:pt>
                <c:pt idx="138">
                  <c:v>-44.506900000000002</c:v>
                </c:pt>
                <c:pt idx="139">
                  <c:v>-44.756949999999996</c:v>
                </c:pt>
                <c:pt idx="140">
                  <c:v>-45.006999999999998</c:v>
                </c:pt>
                <c:pt idx="141">
                  <c:v>-45.25705</c:v>
                </c:pt>
                <c:pt idx="142">
                  <c:v>-45.507100000000001</c:v>
                </c:pt>
                <c:pt idx="143">
                  <c:v>-45.757150000000003</c:v>
                </c:pt>
                <c:pt idx="144">
                  <c:v>-46.007199999999997</c:v>
                </c:pt>
                <c:pt idx="145">
                  <c:v>-46.257249999999999</c:v>
                </c:pt>
                <c:pt idx="146">
                  <c:v>-46.507300000000001</c:v>
                </c:pt>
                <c:pt idx="147">
                  <c:v>-46.757349999999995</c:v>
                </c:pt>
                <c:pt idx="148">
                  <c:v>-47.007400000000004</c:v>
                </c:pt>
                <c:pt idx="149">
                  <c:v>-47.257449999999999</c:v>
                </c:pt>
                <c:pt idx="150">
                  <c:v>-47.5075</c:v>
                </c:pt>
                <c:pt idx="151">
                  <c:v>-47.757550000000002</c:v>
                </c:pt>
                <c:pt idx="152">
                  <c:v>-48.007599999999996</c:v>
                </c:pt>
                <c:pt idx="153">
                  <c:v>-48.257649999999998</c:v>
                </c:pt>
                <c:pt idx="154">
                  <c:v>-48.5077</c:v>
                </c:pt>
                <c:pt idx="155">
                  <c:v>-48.757750000000001</c:v>
                </c:pt>
                <c:pt idx="156">
                  <c:v>-49.007799999999996</c:v>
                </c:pt>
                <c:pt idx="157">
                  <c:v>-49.257849999999998</c:v>
                </c:pt>
                <c:pt idx="158">
                  <c:v>-49.507900000000006</c:v>
                </c:pt>
                <c:pt idx="159">
                  <c:v>-49.757950000000001</c:v>
                </c:pt>
                <c:pt idx="160">
                  <c:v>-50.008000000000003</c:v>
                </c:pt>
                <c:pt idx="161">
                  <c:v>-50.258049999999997</c:v>
                </c:pt>
                <c:pt idx="162">
                  <c:v>-50.508099999999999</c:v>
                </c:pt>
                <c:pt idx="163">
                  <c:v>-50.758149999999993</c:v>
                </c:pt>
                <c:pt idx="164">
                  <c:v>-51.008200000000002</c:v>
                </c:pt>
                <c:pt idx="165">
                  <c:v>-51.258250000000004</c:v>
                </c:pt>
                <c:pt idx="166">
                  <c:v>-51.508299999999998</c:v>
                </c:pt>
                <c:pt idx="167">
                  <c:v>-51.75835</c:v>
                </c:pt>
                <c:pt idx="168">
                  <c:v>-52.008399999999995</c:v>
                </c:pt>
                <c:pt idx="169">
                  <c:v>-52.258449999999996</c:v>
                </c:pt>
                <c:pt idx="170">
                  <c:v>-52.508500000000005</c:v>
                </c:pt>
                <c:pt idx="171">
                  <c:v>-52.75855</c:v>
                </c:pt>
                <c:pt idx="172">
                  <c:v>-53.008600000000001</c:v>
                </c:pt>
                <c:pt idx="173">
                  <c:v>-53.258649999999996</c:v>
                </c:pt>
                <c:pt idx="174">
                  <c:v>-53.508699999999997</c:v>
                </c:pt>
                <c:pt idx="175">
                  <c:v>-53.758750000000006</c:v>
                </c:pt>
                <c:pt idx="176">
                  <c:v>-54.008800000000001</c:v>
                </c:pt>
                <c:pt idx="177">
                  <c:v>-54.258850000000002</c:v>
                </c:pt>
                <c:pt idx="178">
                  <c:v>-54.508899999999997</c:v>
                </c:pt>
                <c:pt idx="179">
                  <c:v>-54.758949999999999</c:v>
                </c:pt>
                <c:pt idx="180">
                  <c:v>-55.008999999999993</c:v>
                </c:pt>
                <c:pt idx="181">
                  <c:v>-55.259050000000002</c:v>
                </c:pt>
                <c:pt idx="182">
                  <c:v>-55.509100000000004</c:v>
                </c:pt>
                <c:pt idx="183">
                  <c:v>-55.759149999999998</c:v>
                </c:pt>
                <c:pt idx="184">
                  <c:v>-56.0092</c:v>
                </c:pt>
                <c:pt idx="185">
                  <c:v>-56.259249999999994</c:v>
                </c:pt>
                <c:pt idx="186">
                  <c:v>-56.509299999999996</c:v>
                </c:pt>
                <c:pt idx="187">
                  <c:v>-56.759350000000005</c:v>
                </c:pt>
                <c:pt idx="188">
                  <c:v>-57.009399999999999</c:v>
                </c:pt>
                <c:pt idx="189">
                  <c:v>-57.259450000000001</c:v>
                </c:pt>
                <c:pt idx="190">
                  <c:v>-57.509499999999996</c:v>
                </c:pt>
                <c:pt idx="191">
                  <c:v>-57.759549999999997</c:v>
                </c:pt>
                <c:pt idx="192">
                  <c:v>-58.009599999999999</c:v>
                </c:pt>
                <c:pt idx="193">
                  <c:v>-58.259650000000001</c:v>
                </c:pt>
                <c:pt idx="194">
                  <c:v>-58.509700000000002</c:v>
                </c:pt>
                <c:pt idx="195">
                  <c:v>-58.759749999999997</c:v>
                </c:pt>
                <c:pt idx="196">
                  <c:v>-59.009799999999998</c:v>
                </c:pt>
                <c:pt idx="197">
                  <c:v>-59.25985</c:v>
                </c:pt>
                <c:pt idx="198">
                  <c:v>-59.509900000000002</c:v>
                </c:pt>
                <c:pt idx="199">
                  <c:v>-59.759950000000003</c:v>
                </c:pt>
                <c:pt idx="200">
                  <c:v>-60.01</c:v>
                </c:pt>
                <c:pt idx="201">
                  <c:v>-60.26005</c:v>
                </c:pt>
                <c:pt idx="202">
                  <c:v>-60.510100000000001</c:v>
                </c:pt>
                <c:pt idx="203">
                  <c:v>-60.760149999999996</c:v>
                </c:pt>
                <c:pt idx="204">
                  <c:v>-61.010200000000005</c:v>
                </c:pt>
                <c:pt idx="205">
                  <c:v>-61.260249999999999</c:v>
                </c:pt>
                <c:pt idx="206">
                  <c:v>-61.510300000000001</c:v>
                </c:pt>
                <c:pt idx="207">
                  <c:v>-61.760350000000003</c:v>
                </c:pt>
                <c:pt idx="208">
                  <c:v>-62.010399999999997</c:v>
                </c:pt>
                <c:pt idx="209">
                  <c:v>-62.260449999999999</c:v>
                </c:pt>
                <c:pt idx="210">
                  <c:v>-62.5105</c:v>
                </c:pt>
                <c:pt idx="211">
                  <c:v>-62.760550000000002</c:v>
                </c:pt>
                <c:pt idx="212">
                  <c:v>-63.010600000000004</c:v>
                </c:pt>
                <c:pt idx="213">
                  <c:v>-63.260649999999998</c:v>
                </c:pt>
                <c:pt idx="214">
                  <c:v>-63.5107</c:v>
                </c:pt>
                <c:pt idx="215">
                  <c:v>-63.760749999999994</c:v>
                </c:pt>
                <c:pt idx="216">
                  <c:v>-64.010800000000003</c:v>
                </c:pt>
                <c:pt idx="217">
                  <c:v>-64.260850000000005</c:v>
                </c:pt>
                <c:pt idx="218">
                  <c:v>-64.510899999999992</c:v>
                </c:pt>
                <c:pt idx="219">
                  <c:v>-64.760950000000008</c:v>
                </c:pt>
                <c:pt idx="220">
                  <c:v>-65.010999999999996</c:v>
                </c:pt>
                <c:pt idx="221">
                  <c:v>-65.261050000000012</c:v>
                </c:pt>
                <c:pt idx="222">
                  <c:v>-65.511099999999999</c:v>
                </c:pt>
                <c:pt idx="223">
                  <c:v>-65.761150000000001</c:v>
                </c:pt>
                <c:pt idx="224">
                  <c:v>-66.011200000000002</c:v>
                </c:pt>
                <c:pt idx="225">
                  <c:v>-66.26124999999999</c:v>
                </c:pt>
                <c:pt idx="226">
                  <c:v>-66.511300000000006</c:v>
                </c:pt>
                <c:pt idx="227">
                  <c:v>-66.761349999999993</c:v>
                </c:pt>
                <c:pt idx="228">
                  <c:v>-67.011400000000009</c:v>
                </c:pt>
                <c:pt idx="229">
                  <c:v>-67.261449999999996</c:v>
                </c:pt>
                <c:pt idx="230">
                  <c:v>-67.511499999999998</c:v>
                </c:pt>
                <c:pt idx="231">
                  <c:v>-67.76155</c:v>
                </c:pt>
                <c:pt idx="232">
                  <c:v>-68.011599999999987</c:v>
                </c:pt>
                <c:pt idx="233">
                  <c:v>-68.261650000000003</c:v>
                </c:pt>
                <c:pt idx="234">
                  <c:v>-68.511700000000005</c:v>
                </c:pt>
                <c:pt idx="235">
                  <c:v>-68.761750000000006</c:v>
                </c:pt>
                <c:pt idx="236">
                  <c:v>-69.011799999999994</c:v>
                </c:pt>
                <c:pt idx="237">
                  <c:v>-69.261849999999995</c:v>
                </c:pt>
                <c:pt idx="238">
                  <c:v>-69.511899999999997</c:v>
                </c:pt>
                <c:pt idx="239">
                  <c:v>-69.761950000000013</c:v>
                </c:pt>
                <c:pt idx="240">
                  <c:v>-70.012</c:v>
                </c:pt>
                <c:pt idx="241">
                  <c:v>-70.262050000000002</c:v>
                </c:pt>
                <c:pt idx="242">
                  <c:v>-70.512100000000004</c:v>
                </c:pt>
                <c:pt idx="243">
                  <c:v>-70.762149999999991</c:v>
                </c:pt>
                <c:pt idx="244">
                  <c:v>-71.012200000000007</c:v>
                </c:pt>
                <c:pt idx="245">
                  <c:v>-71.262249999999995</c:v>
                </c:pt>
                <c:pt idx="246">
                  <c:v>-71.51230000000001</c:v>
                </c:pt>
                <c:pt idx="247">
                  <c:v>-71.762349999999998</c:v>
                </c:pt>
                <c:pt idx="248">
                  <c:v>-72.0124</c:v>
                </c:pt>
                <c:pt idx="249">
                  <c:v>-72.262450000000001</c:v>
                </c:pt>
                <c:pt idx="250">
                  <c:v>-72.512500000000003</c:v>
                </c:pt>
              </c:numCache>
            </c:numRef>
          </c:yVal>
          <c:smooth val="1"/>
        </c:ser>
        <c:ser>
          <c:idx val="3"/>
          <c:order val="2"/>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hx!$I$5:$I$255</c:f>
              <c:numCache>
                <c:formatCode>0.00</c:formatCode>
                <c:ptCount val="251"/>
                <c:pt idx="0">
                  <c:v>0</c:v>
                </c:pt>
                <c:pt idx="1">
                  <c:v>-0.25004999999999999</c:v>
                </c:pt>
                <c:pt idx="2">
                  <c:v>-0.50009999999999999</c:v>
                </c:pt>
                <c:pt idx="3">
                  <c:v>-0.75014999999999998</c:v>
                </c:pt>
                <c:pt idx="4">
                  <c:v>-1.0002</c:v>
                </c:pt>
                <c:pt idx="5">
                  <c:v>-1.2502500000000001</c:v>
                </c:pt>
                <c:pt idx="6">
                  <c:v>-1.5003</c:v>
                </c:pt>
                <c:pt idx="7">
                  <c:v>-1.7503500000000001</c:v>
                </c:pt>
                <c:pt idx="8">
                  <c:v>-2.0004</c:v>
                </c:pt>
                <c:pt idx="9">
                  <c:v>-2.2504499999999998</c:v>
                </c:pt>
                <c:pt idx="10">
                  <c:v>-2.5005000000000002</c:v>
                </c:pt>
                <c:pt idx="11">
                  <c:v>-2.7505500000000001</c:v>
                </c:pt>
                <c:pt idx="12">
                  <c:v>-3.0005999999999999</c:v>
                </c:pt>
                <c:pt idx="13">
                  <c:v>-3.2506499999999998</c:v>
                </c:pt>
                <c:pt idx="14">
                  <c:v>-3.5007000000000001</c:v>
                </c:pt>
                <c:pt idx="15">
                  <c:v>-3.75075</c:v>
                </c:pt>
                <c:pt idx="16">
                  <c:v>-4.0007999999999999</c:v>
                </c:pt>
                <c:pt idx="17">
                  <c:v>-4.2508499999999998</c:v>
                </c:pt>
                <c:pt idx="18">
                  <c:v>-4.5008999999999997</c:v>
                </c:pt>
                <c:pt idx="19">
                  <c:v>-4.7509499999999996</c:v>
                </c:pt>
                <c:pt idx="20">
                  <c:v>-5.0010000000000003</c:v>
                </c:pt>
                <c:pt idx="21">
                  <c:v>-5.2510499999999993</c:v>
                </c:pt>
                <c:pt idx="22">
                  <c:v>-5.5011000000000001</c:v>
                </c:pt>
                <c:pt idx="23">
                  <c:v>-5.75115</c:v>
                </c:pt>
                <c:pt idx="24">
                  <c:v>-6.0011999999999999</c:v>
                </c:pt>
                <c:pt idx="25">
                  <c:v>-6.2512499999999998</c:v>
                </c:pt>
                <c:pt idx="26">
                  <c:v>-6.5012999999999996</c:v>
                </c:pt>
                <c:pt idx="27">
                  <c:v>-6.7513500000000004</c:v>
                </c:pt>
                <c:pt idx="28">
                  <c:v>-7.0014000000000003</c:v>
                </c:pt>
                <c:pt idx="29">
                  <c:v>-7.2514499999999993</c:v>
                </c:pt>
                <c:pt idx="30">
                  <c:v>-7.5015000000000001</c:v>
                </c:pt>
                <c:pt idx="31">
                  <c:v>-7.7515499999999999</c:v>
                </c:pt>
                <c:pt idx="32">
                  <c:v>-8.0015999999999998</c:v>
                </c:pt>
                <c:pt idx="33">
                  <c:v>-8.2516499999999997</c:v>
                </c:pt>
                <c:pt idx="34">
                  <c:v>-8.5016999999999996</c:v>
                </c:pt>
                <c:pt idx="35">
                  <c:v>-8.7517499999999995</c:v>
                </c:pt>
                <c:pt idx="36">
                  <c:v>-9.0017999999999994</c:v>
                </c:pt>
                <c:pt idx="37">
                  <c:v>-9.251850000000001</c:v>
                </c:pt>
                <c:pt idx="38">
                  <c:v>-9.5018999999999991</c:v>
                </c:pt>
                <c:pt idx="39">
                  <c:v>-9.751949999999999</c:v>
                </c:pt>
                <c:pt idx="40">
                  <c:v>-10.002000000000001</c:v>
                </c:pt>
                <c:pt idx="41">
                  <c:v>-10.252050000000001</c:v>
                </c:pt>
                <c:pt idx="42">
                  <c:v>-10.502099999999999</c:v>
                </c:pt>
                <c:pt idx="43">
                  <c:v>-10.75215</c:v>
                </c:pt>
                <c:pt idx="44">
                  <c:v>-11.0022</c:v>
                </c:pt>
                <c:pt idx="45">
                  <c:v>-11.252249999999998</c:v>
                </c:pt>
                <c:pt idx="46">
                  <c:v>-11.5023</c:v>
                </c:pt>
                <c:pt idx="47">
                  <c:v>-11.75235</c:v>
                </c:pt>
                <c:pt idx="48">
                  <c:v>-12.0024</c:v>
                </c:pt>
                <c:pt idx="49">
                  <c:v>-12.25245</c:v>
                </c:pt>
                <c:pt idx="50">
                  <c:v>-12.5025</c:v>
                </c:pt>
                <c:pt idx="51">
                  <c:v>-12.752550000000001</c:v>
                </c:pt>
                <c:pt idx="52">
                  <c:v>-13.002599999999999</c:v>
                </c:pt>
                <c:pt idx="53">
                  <c:v>-13.252650000000001</c:v>
                </c:pt>
                <c:pt idx="54">
                  <c:v>-13.502700000000001</c:v>
                </c:pt>
                <c:pt idx="55">
                  <c:v>-13.752749999999999</c:v>
                </c:pt>
                <c:pt idx="56">
                  <c:v>-14.002800000000001</c:v>
                </c:pt>
                <c:pt idx="57">
                  <c:v>-14.25285</c:v>
                </c:pt>
                <c:pt idx="58">
                  <c:v>-14.502899999999999</c:v>
                </c:pt>
                <c:pt idx="59">
                  <c:v>-14.75295</c:v>
                </c:pt>
                <c:pt idx="60">
                  <c:v>-15.003</c:v>
                </c:pt>
                <c:pt idx="61">
                  <c:v>-15.253050000000002</c:v>
                </c:pt>
                <c:pt idx="62">
                  <c:v>-15.5031</c:v>
                </c:pt>
                <c:pt idx="63">
                  <c:v>-15.75315</c:v>
                </c:pt>
                <c:pt idx="64">
                  <c:v>-16.0032</c:v>
                </c:pt>
                <c:pt idx="65">
                  <c:v>-16.253249999999998</c:v>
                </c:pt>
                <c:pt idx="66">
                  <c:v>-16.503299999999999</c:v>
                </c:pt>
                <c:pt idx="67">
                  <c:v>-16.753350000000001</c:v>
                </c:pt>
                <c:pt idx="68">
                  <c:v>-17.003399999999999</c:v>
                </c:pt>
                <c:pt idx="69">
                  <c:v>-17.253450000000001</c:v>
                </c:pt>
                <c:pt idx="70">
                  <c:v>-17.503499999999999</c:v>
                </c:pt>
                <c:pt idx="71">
                  <c:v>-17.753550000000001</c:v>
                </c:pt>
                <c:pt idx="72">
                  <c:v>-18.003599999999999</c:v>
                </c:pt>
                <c:pt idx="73">
                  <c:v>-18.25365</c:v>
                </c:pt>
                <c:pt idx="74">
                  <c:v>-18.503700000000002</c:v>
                </c:pt>
                <c:pt idx="75">
                  <c:v>-18.75375</c:v>
                </c:pt>
                <c:pt idx="76">
                  <c:v>-19.003799999999998</c:v>
                </c:pt>
                <c:pt idx="77">
                  <c:v>-19.25385</c:v>
                </c:pt>
                <c:pt idx="78">
                  <c:v>-19.503899999999998</c:v>
                </c:pt>
                <c:pt idx="79">
                  <c:v>-19.753950000000003</c:v>
                </c:pt>
                <c:pt idx="80">
                  <c:v>-20.004000000000001</c:v>
                </c:pt>
                <c:pt idx="81">
                  <c:v>-20.254049999999999</c:v>
                </c:pt>
                <c:pt idx="82">
                  <c:v>-20.504100000000001</c:v>
                </c:pt>
                <c:pt idx="83">
                  <c:v>-20.754149999999999</c:v>
                </c:pt>
                <c:pt idx="84">
                  <c:v>-21.004199999999997</c:v>
                </c:pt>
                <c:pt idx="85">
                  <c:v>-21.254250000000003</c:v>
                </c:pt>
                <c:pt idx="86">
                  <c:v>-21.504300000000001</c:v>
                </c:pt>
                <c:pt idx="87">
                  <c:v>-21.754349999999999</c:v>
                </c:pt>
                <c:pt idx="88">
                  <c:v>-22.0044</c:v>
                </c:pt>
                <c:pt idx="89">
                  <c:v>-22.254449999999999</c:v>
                </c:pt>
                <c:pt idx="90">
                  <c:v>-22.504499999999997</c:v>
                </c:pt>
                <c:pt idx="91">
                  <c:v>-22.754550000000002</c:v>
                </c:pt>
                <c:pt idx="92">
                  <c:v>-23.0046</c:v>
                </c:pt>
                <c:pt idx="93">
                  <c:v>-23.254649999999998</c:v>
                </c:pt>
                <c:pt idx="94">
                  <c:v>-23.5047</c:v>
                </c:pt>
                <c:pt idx="95">
                  <c:v>-23.754749999999998</c:v>
                </c:pt>
                <c:pt idx="96">
                  <c:v>-24.004799999999999</c:v>
                </c:pt>
                <c:pt idx="97">
                  <c:v>-24.254850000000001</c:v>
                </c:pt>
                <c:pt idx="98">
                  <c:v>-24.504899999999999</c:v>
                </c:pt>
                <c:pt idx="99">
                  <c:v>-24.754950000000001</c:v>
                </c:pt>
                <c:pt idx="100">
                  <c:v>-25.004999999999999</c:v>
                </c:pt>
                <c:pt idx="101">
                  <c:v>-25.255050000000001</c:v>
                </c:pt>
                <c:pt idx="102">
                  <c:v>-25.505100000000002</c:v>
                </c:pt>
                <c:pt idx="103">
                  <c:v>-25.75515</c:v>
                </c:pt>
                <c:pt idx="104">
                  <c:v>-26.005199999999999</c:v>
                </c:pt>
                <c:pt idx="105">
                  <c:v>-26.25525</c:v>
                </c:pt>
                <c:pt idx="106">
                  <c:v>-26.505300000000002</c:v>
                </c:pt>
                <c:pt idx="107">
                  <c:v>-26.75535</c:v>
                </c:pt>
                <c:pt idx="108">
                  <c:v>-27.005400000000002</c:v>
                </c:pt>
                <c:pt idx="109">
                  <c:v>-27.25545</c:v>
                </c:pt>
                <c:pt idx="110">
                  <c:v>-27.505499999999998</c:v>
                </c:pt>
                <c:pt idx="111">
                  <c:v>-27.755549999999999</c:v>
                </c:pt>
                <c:pt idx="112">
                  <c:v>-28.005600000000001</c:v>
                </c:pt>
                <c:pt idx="113">
                  <c:v>-28.255649999999999</c:v>
                </c:pt>
                <c:pt idx="114">
                  <c:v>-28.505700000000001</c:v>
                </c:pt>
                <c:pt idx="115">
                  <c:v>-28.755749999999999</c:v>
                </c:pt>
                <c:pt idx="116">
                  <c:v>-29.005799999999997</c:v>
                </c:pt>
                <c:pt idx="117">
                  <c:v>-29.255850000000002</c:v>
                </c:pt>
                <c:pt idx="118">
                  <c:v>-29.5059</c:v>
                </c:pt>
                <c:pt idx="119">
                  <c:v>-29.755950000000002</c:v>
                </c:pt>
                <c:pt idx="120">
                  <c:v>-30.006</c:v>
                </c:pt>
                <c:pt idx="121">
                  <c:v>-30.256049999999998</c:v>
                </c:pt>
                <c:pt idx="122">
                  <c:v>-30.506100000000004</c:v>
                </c:pt>
                <c:pt idx="123">
                  <c:v>-30.756150000000002</c:v>
                </c:pt>
                <c:pt idx="124">
                  <c:v>-31.0062</c:v>
                </c:pt>
                <c:pt idx="125">
                  <c:v>-31.256250000000001</c:v>
                </c:pt>
                <c:pt idx="126">
                  <c:v>-31.5063</c:v>
                </c:pt>
                <c:pt idx="127">
                  <c:v>-31.756349999999998</c:v>
                </c:pt>
                <c:pt idx="128">
                  <c:v>-32.006399999999999</c:v>
                </c:pt>
                <c:pt idx="129">
                  <c:v>-32.256450000000001</c:v>
                </c:pt>
                <c:pt idx="130">
                  <c:v>-32.506499999999996</c:v>
                </c:pt>
                <c:pt idx="131">
                  <c:v>-32.756550000000004</c:v>
                </c:pt>
                <c:pt idx="132">
                  <c:v>-33.006599999999999</c:v>
                </c:pt>
                <c:pt idx="133">
                  <c:v>-33.25665</c:v>
                </c:pt>
                <c:pt idx="134">
                  <c:v>-33.506700000000002</c:v>
                </c:pt>
                <c:pt idx="135">
                  <c:v>-33.756749999999997</c:v>
                </c:pt>
                <c:pt idx="136">
                  <c:v>-34.006799999999998</c:v>
                </c:pt>
                <c:pt idx="137">
                  <c:v>-34.25685</c:v>
                </c:pt>
                <c:pt idx="138">
                  <c:v>-34.506900000000002</c:v>
                </c:pt>
                <c:pt idx="139">
                  <c:v>-34.756949999999996</c:v>
                </c:pt>
                <c:pt idx="140">
                  <c:v>-35.006999999999998</c:v>
                </c:pt>
                <c:pt idx="141">
                  <c:v>-35.25705</c:v>
                </c:pt>
                <c:pt idx="142">
                  <c:v>-35.507100000000001</c:v>
                </c:pt>
                <c:pt idx="143">
                  <c:v>-35.757150000000003</c:v>
                </c:pt>
                <c:pt idx="144">
                  <c:v>-36.007199999999997</c:v>
                </c:pt>
                <c:pt idx="145">
                  <c:v>-36.257249999999999</c:v>
                </c:pt>
                <c:pt idx="146">
                  <c:v>-36.507300000000001</c:v>
                </c:pt>
                <c:pt idx="147">
                  <c:v>-36.757349999999995</c:v>
                </c:pt>
                <c:pt idx="148">
                  <c:v>-37.007400000000004</c:v>
                </c:pt>
                <c:pt idx="149">
                  <c:v>-37.257449999999999</c:v>
                </c:pt>
                <c:pt idx="150">
                  <c:v>-37.5075</c:v>
                </c:pt>
                <c:pt idx="151">
                  <c:v>-37.757550000000002</c:v>
                </c:pt>
                <c:pt idx="152">
                  <c:v>-38.007599999999996</c:v>
                </c:pt>
                <c:pt idx="153">
                  <c:v>-38.257649999999998</c:v>
                </c:pt>
                <c:pt idx="154">
                  <c:v>-38.5077</c:v>
                </c:pt>
                <c:pt idx="155">
                  <c:v>-38.757750000000001</c:v>
                </c:pt>
                <c:pt idx="156">
                  <c:v>-39.007799999999996</c:v>
                </c:pt>
                <c:pt idx="157">
                  <c:v>-39.257849999999998</c:v>
                </c:pt>
                <c:pt idx="158">
                  <c:v>-39.507900000000006</c:v>
                </c:pt>
                <c:pt idx="159">
                  <c:v>-39.757950000000001</c:v>
                </c:pt>
                <c:pt idx="160">
                  <c:v>-40.008000000000003</c:v>
                </c:pt>
                <c:pt idx="161">
                  <c:v>-40.258049999999997</c:v>
                </c:pt>
                <c:pt idx="162">
                  <c:v>-40.508099999999999</c:v>
                </c:pt>
                <c:pt idx="163">
                  <c:v>-40.758149999999993</c:v>
                </c:pt>
                <c:pt idx="164">
                  <c:v>-41.008200000000002</c:v>
                </c:pt>
                <c:pt idx="165">
                  <c:v>-41.258250000000004</c:v>
                </c:pt>
                <c:pt idx="166">
                  <c:v>-41.508299999999998</c:v>
                </c:pt>
                <c:pt idx="167">
                  <c:v>-41.75835</c:v>
                </c:pt>
                <c:pt idx="168">
                  <c:v>-42.008399999999995</c:v>
                </c:pt>
                <c:pt idx="169">
                  <c:v>-42.258449999999996</c:v>
                </c:pt>
                <c:pt idx="170">
                  <c:v>-42.508500000000005</c:v>
                </c:pt>
                <c:pt idx="171">
                  <c:v>-42.75855</c:v>
                </c:pt>
                <c:pt idx="172">
                  <c:v>-43.008600000000001</c:v>
                </c:pt>
                <c:pt idx="173">
                  <c:v>-43.258649999999996</c:v>
                </c:pt>
                <c:pt idx="174">
                  <c:v>-43.508699999999997</c:v>
                </c:pt>
                <c:pt idx="175">
                  <c:v>-43.758750000000006</c:v>
                </c:pt>
                <c:pt idx="176">
                  <c:v>-44.008800000000001</c:v>
                </c:pt>
                <c:pt idx="177">
                  <c:v>-44.258850000000002</c:v>
                </c:pt>
                <c:pt idx="178">
                  <c:v>-44.508899999999997</c:v>
                </c:pt>
                <c:pt idx="179">
                  <c:v>-44.758949999999999</c:v>
                </c:pt>
                <c:pt idx="180">
                  <c:v>-45.008999999999993</c:v>
                </c:pt>
                <c:pt idx="181">
                  <c:v>-45.259050000000002</c:v>
                </c:pt>
                <c:pt idx="182">
                  <c:v>-45.509100000000004</c:v>
                </c:pt>
                <c:pt idx="183">
                  <c:v>-45.759149999999998</c:v>
                </c:pt>
                <c:pt idx="184">
                  <c:v>-46.0092</c:v>
                </c:pt>
                <c:pt idx="185">
                  <c:v>-46.259249999999994</c:v>
                </c:pt>
                <c:pt idx="186">
                  <c:v>-46.509299999999996</c:v>
                </c:pt>
                <c:pt idx="187">
                  <c:v>-46.759350000000005</c:v>
                </c:pt>
                <c:pt idx="188">
                  <c:v>-47.009399999999999</c:v>
                </c:pt>
                <c:pt idx="189">
                  <c:v>-47.259450000000001</c:v>
                </c:pt>
                <c:pt idx="190">
                  <c:v>-47.509499999999996</c:v>
                </c:pt>
                <c:pt idx="191">
                  <c:v>-47.759549999999997</c:v>
                </c:pt>
                <c:pt idx="192">
                  <c:v>-48.009599999999999</c:v>
                </c:pt>
                <c:pt idx="193">
                  <c:v>-48.259650000000001</c:v>
                </c:pt>
                <c:pt idx="194">
                  <c:v>-48.509700000000002</c:v>
                </c:pt>
                <c:pt idx="195">
                  <c:v>-48.759749999999997</c:v>
                </c:pt>
                <c:pt idx="196">
                  <c:v>-49.009799999999998</c:v>
                </c:pt>
                <c:pt idx="197">
                  <c:v>-49.25985</c:v>
                </c:pt>
                <c:pt idx="198">
                  <c:v>-49.509900000000002</c:v>
                </c:pt>
                <c:pt idx="199">
                  <c:v>-49.759950000000003</c:v>
                </c:pt>
                <c:pt idx="200">
                  <c:v>-50.01</c:v>
                </c:pt>
                <c:pt idx="201">
                  <c:v>-50.26005</c:v>
                </c:pt>
                <c:pt idx="202">
                  <c:v>-50.510100000000001</c:v>
                </c:pt>
                <c:pt idx="203">
                  <c:v>-50.760149999999996</c:v>
                </c:pt>
                <c:pt idx="204">
                  <c:v>-51.010200000000005</c:v>
                </c:pt>
                <c:pt idx="205">
                  <c:v>-51.260249999999999</c:v>
                </c:pt>
                <c:pt idx="206">
                  <c:v>-51.510300000000001</c:v>
                </c:pt>
                <c:pt idx="207">
                  <c:v>-51.760350000000003</c:v>
                </c:pt>
                <c:pt idx="208">
                  <c:v>-52.010399999999997</c:v>
                </c:pt>
                <c:pt idx="209">
                  <c:v>-52.260449999999999</c:v>
                </c:pt>
                <c:pt idx="210">
                  <c:v>-52.5105</c:v>
                </c:pt>
                <c:pt idx="211">
                  <c:v>-52.760550000000002</c:v>
                </c:pt>
                <c:pt idx="212">
                  <c:v>-53.010600000000004</c:v>
                </c:pt>
                <c:pt idx="213">
                  <c:v>-53.260649999999998</c:v>
                </c:pt>
                <c:pt idx="214">
                  <c:v>-53.5107</c:v>
                </c:pt>
                <c:pt idx="215">
                  <c:v>-53.760749999999994</c:v>
                </c:pt>
                <c:pt idx="216">
                  <c:v>-54.010800000000003</c:v>
                </c:pt>
                <c:pt idx="217">
                  <c:v>-54.260849999999998</c:v>
                </c:pt>
                <c:pt idx="218">
                  <c:v>-54.510899999999999</c:v>
                </c:pt>
                <c:pt idx="219">
                  <c:v>-54.760950000000001</c:v>
                </c:pt>
                <c:pt idx="220">
                  <c:v>-55.010999999999996</c:v>
                </c:pt>
                <c:pt idx="221">
                  <c:v>-55.261050000000004</c:v>
                </c:pt>
                <c:pt idx="222">
                  <c:v>-55.511099999999999</c:v>
                </c:pt>
                <c:pt idx="223">
                  <c:v>-55.761150000000001</c:v>
                </c:pt>
                <c:pt idx="224">
                  <c:v>-56.011200000000002</c:v>
                </c:pt>
                <c:pt idx="225">
                  <c:v>-56.261249999999997</c:v>
                </c:pt>
                <c:pt idx="226">
                  <c:v>-56.511299999999999</c:v>
                </c:pt>
                <c:pt idx="227">
                  <c:v>-56.76135</c:v>
                </c:pt>
                <c:pt idx="228">
                  <c:v>-57.011400000000002</c:v>
                </c:pt>
                <c:pt idx="229">
                  <c:v>-57.261450000000004</c:v>
                </c:pt>
                <c:pt idx="230">
                  <c:v>-57.511499999999998</c:v>
                </c:pt>
                <c:pt idx="231">
                  <c:v>-57.76155</c:v>
                </c:pt>
                <c:pt idx="232">
                  <c:v>-58.011599999999994</c:v>
                </c:pt>
                <c:pt idx="233">
                  <c:v>-58.261650000000003</c:v>
                </c:pt>
                <c:pt idx="234">
                  <c:v>-58.511700000000005</c:v>
                </c:pt>
                <c:pt idx="235">
                  <c:v>-58.761749999999999</c:v>
                </c:pt>
                <c:pt idx="236">
                  <c:v>-59.011800000000001</c:v>
                </c:pt>
                <c:pt idx="237">
                  <c:v>-59.261849999999995</c:v>
                </c:pt>
                <c:pt idx="238">
                  <c:v>-59.511900000000004</c:v>
                </c:pt>
                <c:pt idx="239">
                  <c:v>-59.761950000000006</c:v>
                </c:pt>
                <c:pt idx="240">
                  <c:v>-60.012</c:v>
                </c:pt>
                <c:pt idx="241">
                  <c:v>-60.262050000000002</c:v>
                </c:pt>
                <c:pt idx="242">
                  <c:v>-60.512099999999997</c:v>
                </c:pt>
                <c:pt idx="243">
                  <c:v>-60.762149999999998</c:v>
                </c:pt>
                <c:pt idx="244">
                  <c:v>-61.012200000000007</c:v>
                </c:pt>
                <c:pt idx="245">
                  <c:v>-61.262250000000002</c:v>
                </c:pt>
                <c:pt idx="246">
                  <c:v>-61.512300000000003</c:v>
                </c:pt>
                <c:pt idx="247">
                  <c:v>-61.762349999999998</c:v>
                </c:pt>
                <c:pt idx="248">
                  <c:v>-62.0124</c:v>
                </c:pt>
                <c:pt idx="249">
                  <c:v>-62.262449999999994</c:v>
                </c:pt>
                <c:pt idx="250">
                  <c:v>-62.512500000000003</c:v>
                </c:pt>
              </c:numCache>
            </c:numRef>
          </c:yVal>
          <c:smooth val="1"/>
        </c:ser>
        <c:ser>
          <c:idx val="4"/>
          <c:order val="3"/>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hx!$J$5:$J$255</c:f>
              <c:numCache>
                <c:formatCode>0.00</c:formatCode>
                <c:ptCount val="251"/>
                <c:pt idx="0">
                  <c:v>10</c:v>
                </c:pt>
                <c:pt idx="1">
                  <c:v>9.7499500000000001</c:v>
                </c:pt>
                <c:pt idx="2">
                  <c:v>9.4999000000000002</c:v>
                </c:pt>
                <c:pt idx="3">
                  <c:v>9.2498500000000003</c:v>
                </c:pt>
                <c:pt idx="4">
                  <c:v>8.9998000000000005</c:v>
                </c:pt>
                <c:pt idx="5">
                  <c:v>8.7497500000000006</c:v>
                </c:pt>
                <c:pt idx="6">
                  <c:v>8.4997000000000007</c:v>
                </c:pt>
                <c:pt idx="7">
                  <c:v>8.249649999999999</c:v>
                </c:pt>
                <c:pt idx="8">
                  <c:v>7.9996</c:v>
                </c:pt>
                <c:pt idx="9">
                  <c:v>7.7495500000000002</c:v>
                </c:pt>
                <c:pt idx="10">
                  <c:v>7.4994999999999994</c:v>
                </c:pt>
                <c:pt idx="11">
                  <c:v>7.2494499999999995</c:v>
                </c:pt>
                <c:pt idx="12">
                  <c:v>6.9993999999999996</c:v>
                </c:pt>
                <c:pt idx="13">
                  <c:v>6.7493499999999997</c:v>
                </c:pt>
                <c:pt idx="14">
                  <c:v>6.4992999999999999</c:v>
                </c:pt>
                <c:pt idx="15">
                  <c:v>6.24925</c:v>
                </c:pt>
                <c:pt idx="16">
                  <c:v>5.9992000000000001</c:v>
                </c:pt>
                <c:pt idx="17">
                  <c:v>5.7491500000000002</c:v>
                </c:pt>
                <c:pt idx="18">
                  <c:v>5.4991000000000003</c:v>
                </c:pt>
                <c:pt idx="19">
                  <c:v>5.2490500000000004</c:v>
                </c:pt>
                <c:pt idx="20">
                  <c:v>4.9989999999999997</c:v>
                </c:pt>
                <c:pt idx="21">
                  <c:v>4.7489500000000007</c:v>
                </c:pt>
                <c:pt idx="22">
                  <c:v>4.4988999999999999</c:v>
                </c:pt>
                <c:pt idx="23">
                  <c:v>4.24885</c:v>
                </c:pt>
                <c:pt idx="24">
                  <c:v>3.9988000000000001</c:v>
                </c:pt>
                <c:pt idx="25">
                  <c:v>3.7487500000000002</c:v>
                </c:pt>
                <c:pt idx="26">
                  <c:v>3.4987000000000004</c:v>
                </c:pt>
                <c:pt idx="27">
                  <c:v>3.2486499999999996</c:v>
                </c:pt>
                <c:pt idx="28">
                  <c:v>2.9985999999999997</c:v>
                </c:pt>
                <c:pt idx="29">
                  <c:v>2.7485500000000007</c:v>
                </c:pt>
                <c:pt idx="30">
                  <c:v>2.4984999999999999</c:v>
                </c:pt>
                <c:pt idx="31">
                  <c:v>2.2484500000000001</c:v>
                </c:pt>
                <c:pt idx="32">
                  <c:v>1.9984000000000002</c:v>
                </c:pt>
                <c:pt idx="33">
                  <c:v>1.7483500000000003</c:v>
                </c:pt>
                <c:pt idx="34">
                  <c:v>1.4983000000000004</c:v>
                </c:pt>
                <c:pt idx="35">
                  <c:v>1.2482500000000005</c:v>
                </c:pt>
                <c:pt idx="36">
                  <c:v>0.99820000000000064</c:v>
                </c:pt>
                <c:pt idx="37">
                  <c:v>0.74814999999999898</c:v>
                </c:pt>
                <c:pt idx="38">
                  <c:v>0.49810000000000088</c:v>
                </c:pt>
                <c:pt idx="39">
                  <c:v>0.24805000000000099</c:v>
                </c:pt>
                <c:pt idx="40">
                  <c:v>-2.0000000000006679E-3</c:v>
                </c:pt>
                <c:pt idx="41">
                  <c:v>-0.25205000000000055</c:v>
                </c:pt>
                <c:pt idx="42">
                  <c:v>-0.50209999999999866</c:v>
                </c:pt>
                <c:pt idx="43">
                  <c:v>-0.75215000000000032</c:v>
                </c:pt>
                <c:pt idx="44">
                  <c:v>-1.0022000000000002</c:v>
                </c:pt>
                <c:pt idx="45">
                  <c:v>-1.2522499999999983</c:v>
                </c:pt>
                <c:pt idx="46">
                  <c:v>-1.5023</c:v>
                </c:pt>
                <c:pt idx="47">
                  <c:v>-1.7523499999999999</c:v>
                </c:pt>
                <c:pt idx="48">
                  <c:v>-2.0023999999999997</c:v>
                </c:pt>
                <c:pt idx="49">
                  <c:v>-2.2524499999999996</c:v>
                </c:pt>
                <c:pt idx="50">
                  <c:v>-2.5024999999999995</c:v>
                </c:pt>
                <c:pt idx="51">
                  <c:v>-2.7525500000000012</c:v>
                </c:pt>
                <c:pt idx="52">
                  <c:v>-3.0025999999999993</c:v>
                </c:pt>
                <c:pt idx="53">
                  <c:v>-3.2526500000000009</c:v>
                </c:pt>
                <c:pt idx="54">
                  <c:v>-3.5027000000000008</c:v>
                </c:pt>
                <c:pt idx="55">
                  <c:v>-3.7527499999999989</c:v>
                </c:pt>
                <c:pt idx="56">
                  <c:v>-4.0028000000000006</c:v>
                </c:pt>
                <c:pt idx="57">
                  <c:v>-4.2528500000000005</c:v>
                </c:pt>
                <c:pt idx="58">
                  <c:v>-4.5028999999999986</c:v>
                </c:pt>
                <c:pt idx="59">
                  <c:v>-4.7529500000000002</c:v>
                </c:pt>
                <c:pt idx="60">
                  <c:v>-5.0030000000000001</c:v>
                </c:pt>
                <c:pt idx="61">
                  <c:v>-5.2530500000000018</c:v>
                </c:pt>
                <c:pt idx="62">
                  <c:v>-5.5030999999999999</c:v>
                </c:pt>
                <c:pt idx="63">
                  <c:v>-5.7531499999999998</c:v>
                </c:pt>
                <c:pt idx="64">
                  <c:v>-6.0031999999999996</c:v>
                </c:pt>
                <c:pt idx="65">
                  <c:v>-6.2532499999999978</c:v>
                </c:pt>
                <c:pt idx="66">
                  <c:v>-6.5032999999999994</c:v>
                </c:pt>
                <c:pt idx="67">
                  <c:v>-6.7533500000000011</c:v>
                </c:pt>
                <c:pt idx="68">
                  <c:v>-7.0033999999999992</c:v>
                </c:pt>
                <c:pt idx="69">
                  <c:v>-7.2534500000000008</c:v>
                </c:pt>
                <c:pt idx="70">
                  <c:v>-7.5034999999999989</c:v>
                </c:pt>
                <c:pt idx="71">
                  <c:v>-7.7535500000000006</c:v>
                </c:pt>
                <c:pt idx="72">
                  <c:v>-8.0035999999999987</c:v>
                </c:pt>
                <c:pt idx="73">
                  <c:v>-8.2536500000000004</c:v>
                </c:pt>
                <c:pt idx="74">
                  <c:v>-8.503700000000002</c:v>
                </c:pt>
                <c:pt idx="75">
                  <c:v>-8.7537500000000001</c:v>
                </c:pt>
                <c:pt idx="76">
                  <c:v>-9.0037999999999982</c:v>
                </c:pt>
                <c:pt idx="77">
                  <c:v>-9.2538499999999999</c:v>
                </c:pt>
                <c:pt idx="78">
                  <c:v>-9.503899999999998</c:v>
                </c:pt>
                <c:pt idx="79">
                  <c:v>-9.7539500000000032</c:v>
                </c:pt>
                <c:pt idx="80">
                  <c:v>-10.004000000000001</c:v>
                </c:pt>
                <c:pt idx="81">
                  <c:v>-10.254049999999999</c:v>
                </c:pt>
                <c:pt idx="82">
                  <c:v>-10.504100000000001</c:v>
                </c:pt>
                <c:pt idx="83">
                  <c:v>-10.754149999999999</c:v>
                </c:pt>
                <c:pt idx="84">
                  <c:v>-11.004199999999997</c:v>
                </c:pt>
                <c:pt idx="85">
                  <c:v>-11.254250000000003</c:v>
                </c:pt>
                <c:pt idx="86">
                  <c:v>-11.504300000000001</c:v>
                </c:pt>
                <c:pt idx="87">
                  <c:v>-11.754349999999999</c:v>
                </c:pt>
                <c:pt idx="88">
                  <c:v>-12.0044</c:v>
                </c:pt>
                <c:pt idx="89">
                  <c:v>-12.254449999999999</c:v>
                </c:pt>
                <c:pt idx="90">
                  <c:v>-12.504499999999997</c:v>
                </c:pt>
                <c:pt idx="91">
                  <c:v>-12.754550000000002</c:v>
                </c:pt>
                <c:pt idx="92">
                  <c:v>-13.0046</c:v>
                </c:pt>
                <c:pt idx="93">
                  <c:v>-13.254649999999998</c:v>
                </c:pt>
                <c:pt idx="94">
                  <c:v>-13.5047</c:v>
                </c:pt>
                <c:pt idx="95">
                  <c:v>-13.754749999999998</c:v>
                </c:pt>
                <c:pt idx="96">
                  <c:v>-14.004799999999999</c:v>
                </c:pt>
                <c:pt idx="97">
                  <c:v>-14.254850000000001</c:v>
                </c:pt>
                <c:pt idx="98">
                  <c:v>-14.504899999999999</c:v>
                </c:pt>
                <c:pt idx="99">
                  <c:v>-14.754950000000001</c:v>
                </c:pt>
                <c:pt idx="100">
                  <c:v>-15.004999999999999</c:v>
                </c:pt>
                <c:pt idx="101">
                  <c:v>-15.255050000000001</c:v>
                </c:pt>
                <c:pt idx="102">
                  <c:v>-15.505100000000002</c:v>
                </c:pt>
                <c:pt idx="103">
                  <c:v>-15.75515</c:v>
                </c:pt>
                <c:pt idx="104">
                  <c:v>-16.005199999999999</c:v>
                </c:pt>
                <c:pt idx="105">
                  <c:v>-16.25525</c:v>
                </c:pt>
                <c:pt idx="106">
                  <c:v>-16.505300000000002</c:v>
                </c:pt>
                <c:pt idx="107">
                  <c:v>-16.75535</c:v>
                </c:pt>
                <c:pt idx="108">
                  <c:v>-17.005400000000002</c:v>
                </c:pt>
                <c:pt idx="109">
                  <c:v>-17.25545</c:v>
                </c:pt>
                <c:pt idx="110">
                  <c:v>-17.505499999999998</c:v>
                </c:pt>
                <c:pt idx="111">
                  <c:v>-17.755549999999999</c:v>
                </c:pt>
                <c:pt idx="112">
                  <c:v>-18.005600000000001</c:v>
                </c:pt>
                <c:pt idx="113">
                  <c:v>-18.255649999999999</c:v>
                </c:pt>
                <c:pt idx="114">
                  <c:v>-18.505700000000001</c:v>
                </c:pt>
                <c:pt idx="115">
                  <c:v>-18.755749999999999</c:v>
                </c:pt>
                <c:pt idx="116">
                  <c:v>-19.005799999999997</c:v>
                </c:pt>
                <c:pt idx="117">
                  <c:v>-19.255850000000002</c:v>
                </c:pt>
                <c:pt idx="118">
                  <c:v>-19.5059</c:v>
                </c:pt>
                <c:pt idx="119">
                  <c:v>-19.755950000000002</c:v>
                </c:pt>
                <c:pt idx="120">
                  <c:v>-20.006</c:v>
                </c:pt>
                <c:pt idx="121">
                  <c:v>-20.256049999999998</c:v>
                </c:pt>
                <c:pt idx="122">
                  <c:v>-20.506100000000004</c:v>
                </c:pt>
                <c:pt idx="123">
                  <c:v>-20.756150000000002</c:v>
                </c:pt>
                <c:pt idx="124">
                  <c:v>-21.0062</c:v>
                </c:pt>
                <c:pt idx="125">
                  <c:v>-21.256250000000001</c:v>
                </c:pt>
                <c:pt idx="126">
                  <c:v>-21.5063</c:v>
                </c:pt>
                <c:pt idx="127">
                  <c:v>-21.756349999999998</c:v>
                </c:pt>
                <c:pt idx="128">
                  <c:v>-22.006399999999999</c:v>
                </c:pt>
                <c:pt idx="129">
                  <c:v>-22.256450000000001</c:v>
                </c:pt>
                <c:pt idx="130">
                  <c:v>-22.506499999999996</c:v>
                </c:pt>
                <c:pt idx="131">
                  <c:v>-22.756550000000004</c:v>
                </c:pt>
                <c:pt idx="132">
                  <c:v>-23.006599999999999</c:v>
                </c:pt>
                <c:pt idx="133">
                  <c:v>-23.25665</c:v>
                </c:pt>
                <c:pt idx="134">
                  <c:v>-23.506700000000002</c:v>
                </c:pt>
                <c:pt idx="135">
                  <c:v>-23.756749999999997</c:v>
                </c:pt>
                <c:pt idx="136">
                  <c:v>-24.006799999999998</c:v>
                </c:pt>
                <c:pt idx="137">
                  <c:v>-24.25685</c:v>
                </c:pt>
                <c:pt idx="138">
                  <c:v>-24.506900000000002</c:v>
                </c:pt>
                <c:pt idx="139">
                  <c:v>-24.756949999999996</c:v>
                </c:pt>
                <c:pt idx="140">
                  <c:v>-25.006999999999998</c:v>
                </c:pt>
                <c:pt idx="141">
                  <c:v>-25.25705</c:v>
                </c:pt>
                <c:pt idx="142">
                  <c:v>-25.507100000000001</c:v>
                </c:pt>
                <c:pt idx="143">
                  <c:v>-25.757150000000003</c:v>
                </c:pt>
                <c:pt idx="144">
                  <c:v>-26.007199999999997</c:v>
                </c:pt>
                <c:pt idx="145">
                  <c:v>-26.257249999999999</c:v>
                </c:pt>
                <c:pt idx="146">
                  <c:v>-26.507300000000001</c:v>
                </c:pt>
                <c:pt idx="147">
                  <c:v>-26.757349999999995</c:v>
                </c:pt>
                <c:pt idx="148">
                  <c:v>-27.007400000000004</c:v>
                </c:pt>
                <c:pt idx="149">
                  <c:v>-27.257449999999999</c:v>
                </c:pt>
                <c:pt idx="150">
                  <c:v>-27.5075</c:v>
                </c:pt>
                <c:pt idx="151">
                  <c:v>-27.757550000000002</c:v>
                </c:pt>
                <c:pt idx="152">
                  <c:v>-28.007599999999996</c:v>
                </c:pt>
                <c:pt idx="153">
                  <c:v>-28.257649999999998</c:v>
                </c:pt>
                <c:pt idx="154">
                  <c:v>-28.5077</c:v>
                </c:pt>
                <c:pt idx="155">
                  <c:v>-28.757750000000001</c:v>
                </c:pt>
                <c:pt idx="156">
                  <c:v>-29.007799999999996</c:v>
                </c:pt>
                <c:pt idx="157">
                  <c:v>-29.257849999999998</c:v>
                </c:pt>
                <c:pt idx="158">
                  <c:v>-29.507900000000006</c:v>
                </c:pt>
                <c:pt idx="159">
                  <c:v>-29.757950000000001</c:v>
                </c:pt>
                <c:pt idx="160">
                  <c:v>-30.008000000000003</c:v>
                </c:pt>
                <c:pt idx="161">
                  <c:v>-30.258049999999997</c:v>
                </c:pt>
                <c:pt idx="162">
                  <c:v>-30.508099999999999</c:v>
                </c:pt>
                <c:pt idx="163">
                  <c:v>-30.758149999999993</c:v>
                </c:pt>
                <c:pt idx="164">
                  <c:v>-31.008200000000002</c:v>
                </c:pt>
                <c:pt idx="165">
                  <c:v>-31.258250000000004</c:v>
                </c:pt>
                <c:pt idx="166">
                  <c:v>-31.508299999999998</c:v>
                </c:pt>
                <c:pt idx="167">
                  <c:v>-31.75835</c:v>
                </c:pt>
                <c:pt idx="168">
                  <c:v>-32.008399999999995</c:v>
                </c:pt>
                <c:pt idx="169">
                  <c:v>-32.258449999999996</c:v>
                </c:pt>
                <c:pt idx="170">
                  <c:v>-32.508500000000005</c:v>
                </c:pt>
                <c:pt idx="171">
                  <c:v>-32.75855</c:v>
                </c:pt>
                <c:pt idx="172">
                  <c:v>-33.008600000000001</c:v>
                </c:pt>
                <c:pt idx="173">
                  <c:v>-33.258649999999996</c:v>
                </c:pt>
                <c:pt idx="174">
                  <c:v>-33.508699999999997</c:v>
                </c:pt>
                <c:pt idx="175">
                  <c:v>-33.758750000000006</c:v>
                </c:pt>
                <c:pt idx="176">
                  <c:v>-34.008800000000001</c:v>
                </c:pt>
                <c:pt idx="177">
                  <c:v>-34.258850000000002</c:v>
                </c:pt>
                <c:pt idx="178">
                  <c:v>-34.508899999999997</c:v>
                </c:pt>
                <c:pt idx="179">
                  <c:v>-34.758949999999999</c:v>
                </c:pt>
                <c:pt idx="180">
                  <c:v>-35.008999999999993</c:v>
                </c:pt>
                <c:pt idx="181">
                  <c:v>-35.259050000000002</c:v>
                </c:pt>
                <c:pt idx="182">
                  <c:v>-35.509100000000004</c:v>
                </c:pt>
                <c:pt idx="183">
                  <c:v>-35.759149999999998</c:v>
                </c:pt>
                <c:pt idx="184">
                  <c:v>-36.0092</c:v>
                </c:pt>
                <c:pt idx="185">
                  <c:v>-36.259249999999994</c:v>
                </c:pt>
                <c:pt idx="186">
                  <c:v>-36.509299999999996</c:v>
                </c:pt>
                <c:pt idx="187">
                  <c:v>-36.759350000000005</c:v>
                </c:pt>
                <c:pt idx="188">
                  <c:v>-37.009399999999999</c:v>
                </c:pt>
                <c:pt idx="189">
                  <c:v>-37.259450000000001</c:v>
                </c:pt>
                <c:pt idx="190">
                  <c:v>-37.509499999999996</c:v>
                </c:pt>
                <c:pt idx="191">
                  <c:v>-37.759549999999997</c:v>
                </c:pt>
                <c:pt idx="192">
                  <c:v>-38.009599999999999</c:v>
                </c:pt>
                <c:pt idx="193">
                  <c:v>-38.259650000000001</c:v>
                </c:pt>
                <c:pt idx="194">
                  <c:v>-38.509700000000002</c:v>
                </c:pt>
                <c:pt idx="195">
                  <c:v>-38.759749999999997</c:v>
                </c:pt>
                <c:pt idx="196">
                  <c:v>-39.009799999999998</c:v>
                </c:pt>
                <c:pt idx="197">
                  <c:v>-39.25985</c:v>
                </c:pt>
                <c:pt idx="198">
                  <c:v>-39.509900000000002</c:v>
                </c:pt>
                <c:pt idx="199">
                  <c:v>-39.759950000000003</c:v>
                </c:pt>
                <c:pt idx="200">
                  <c:v>-40.01</c:v>
                </c:pt>
                <c:pt idx="201">
                  <c:v>-40.26005</c:v>
                </c:pt>
                <c:pt idx="202">
                  <c:v>-40.510100000000001</c:v>
                </c:pt>
                <c:pt idx="203">
                  <c:v>-40.760149999999996</c:v>
                </c:pt>
                <c:pt idx="204">
                  <c:v>-41.010200000000005</c:v>
                </c:pt>
                <c:pt idx="205">
                  <c:v>-41.260249999999999</c:v>
                </c:pt>
                <c:pt idx="206">
                  <c:v>-41.510300000000001</c:v>
                </c:pt>
                <c:pt idx="207">
                  <c:v>-41.760350000000003</c:v>
                </c:pt>
                <c:pt idx="208">
                  <c:v>-42.010399999999997</c:v>
                </c:pt>
                <c:pt idx="209">
                  <c:v>-42.260449999999999</c:v>
                </c:pt>
                <c:pt idx="210">
                  <c:v>-42.5105</c:v>
                </c:pt>
                <c:pt idx="211">
                  <c:v>-42.760550000000002</c:v>
                </c:pt>
                <c:pt idx="212">
                  <c:v>-43.010600000000004</c:v>
                </c:pt>
                <c:pt idx="213">
                  <c:v>-43.260649999999998</c:v>
                </c:pt>
                <c:pt idx="214">
                  <c:v>-43.5107</c:v>
                </c:pt>
                <c:pt idx="215">
                  <c:v>-43.760749999999994</c:v>
                </c:pt>
                <c:pt idx="216">
                  <c:v>-44.010800000000003</c:v>
                </c:pt>
                <c:pt idx="217">
                  <c:v>-44.260849999999998</c:v>
                </c:pt>
                <c:pt idx="218">
                  <c:v>-44.510899999999999</c:v>
                </c:pt>
                <c:pt idx="219">
                  <c:v>-44.760950000000001</c:v>
                </c:pt>
                <c:pt idx="220">
                  <c:v>-45.010999999999996</c:v>
                </c:pt>
                <c:pt idx="221">
                  <c:v>-45.261050000000004</c:v>
                </c:pt>
                <c:pt idx="222">
                  <c:v>-45.511099999999999</c:v>
                </c:pt>
                <c:pt idx="223">
                  <c:v>-45.761150000000001</c:v>
                </c:pt>
                <c:pt idx="224">
                  <c:v>-46.011200000000002</c:v>
                </c:pt>
                <c:pt idx="225">
                  <c:v>-46.261249999999997</c:v>
                </c:pt>
                <c:pt idx="226">
                  <c:v>-46.511299999999999</c:v>
                </c:pt>
                <c:pt idx="227">
                  <c:v>-46.76135</c:v>
                </c:pt>
                <c:pt idx="228">
                  <c:v>-47.011400000000002</c:v>
                </c:pt>
                <c:pt idx="229">
                  <c:v>-47.261450000000004</c:v>
                </c:pt>
                <c:pt idx="230">
                  <c:v>-47.511499999999998</c:v>
                </c:pt>
                <c:pt idx="231">
                  <c:v>-47.76155</c:v>
                </c:pt>
                <c:pt idx="232">
                  <c:v>-48.011599999999994</c:v>
                </c:pt>
                <c:pt idx="233">
                  <c:v>-48.261650000000003</c:v>
                </c:pt>
                <c:pt idx="234">
                  <c:v>-48.511700000000005</c:v>
                </c:pt>
                <c:pt idx="235">
                  <c:v>-48.761749999999999</c:v>
                </c:pt>
                <c:pt idx="236">
                  <c:v>-49.011800000000001</c:v>
                </c:pt>
                <c:pt idx="237">
                  <c:v>-49.261849999999995</c:v>
                </c:pt>
                <c:pt idx="238">
                  <c:v>-49.511900000000004</c:v>
                </c:pt>
                <c:pt idx="239">
                  <c:v>-49.761950000000006</c:v>
                </c:pt>
                <c:pt idx="240">
                  <c:v>-50.012</c:v>
                </c:pt>
                <c:pt idx="241">
                  <c:v>-50.262050000000002</c:v>
                </c:pt>
                <c:pt idx="242">
                  <c:v>-50.512099999999997</c:v>
                </c:pt>
                <c:pt idx="243">
                  <c:v>-50.762149999999998</c:v>
                </c:pt>
                <c:pt idx="244">
                  <c:v>-51.012200000000007</c:v>
                </c:pt>
                <c:pt idx="245">
                  <c:v>-51.262250000000002</c:v>
                </c:pt>
                <c:pt idx="246">
                  <c:v>-51.512300000000003</c:v>
                </c:pt>
                <c:pt idx="247">
                  <c:v>-51.762349999999998</c:v>
                </c:pt>
                <c:pt idx="248">
                  <c:v>-52.0124</c:v>
                </c:pt>
                <c:pt idx="249">
                  <c:v>-52.262449999999994</c:v>
                </c:pt>
                <c:pt idx="250">
                  <c:v>-52.512500000000003</c:v>
                </c:pt>
              </c:numCache>
            </c:numRef>
          </c:yVal>
          <c:smooth val="1"/>
        </c:ser>
        <c:ser>
          <c:idx val="5"/>
          <c:order val="4"/>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hx!$K$5:$K$255</c:f>
              <c:numCache>
                <c:formatCode>0.00</c:formatCode>
                <c:ptCount val="251"/>
                <c:pt idx="0">
                  <c:v>20</c:v>
                </c:pt>
                <c:pt idx="1">
                  <c:v>19.749949999999998</c:v>
                </c:pt>
                <c:pt idx="2">
                  <c:v>19.4999</c:v>
                </c:pt>
                <c:pt idx="3">
                  <c:v>19.249849999999999</c:v>
                </c:pt>
                <c:pt idx="4">
                  <c:v>18.9998</c:v>
                </c:pt>
                <c:pt idx="5">
                  <c:v>18.749749999999999</c:v>
                </c:pt>
                <c:pt idx="6">
                  <c:v>18.499700000000001</c:v>
                </c:pt>
                <c:pt idx="7">
                  <c:v>18.249649999999999</c:v>
                </c:pt>
                <c:pt idx="8">
                  <c:v>17.999600000000001</c:v>
                </c:pt>
                <c:pt idx="9">
                  <c:v>17.749549999999999</c:v>
                </c:pt>
                <c:pt idx="10">
                  <c:v>17.499500000000001</c:v>
                </c:pt>
                <c:pt idx="11">
                  <c:v>17.24945</c:v>
                </c:pt>
                <c:pt idx="12">
                  <c:v>16.999400000000001</c:v>
                </c:pt>
                <c:pt idx="13">
                  <c:v>16.74935</c:v>
                </c:pt>
                <c:pt idx="14">
                  <c:v>16.499299999999998</c:v>
                </c:pt>
                <c:pt idx="15">
                  <c:v>16.24925</c:v>
                </c:pt>
                <c:pt idx="16">
                  <c:v>15.9992</c:v>
                </c:pt>
                <c:pt idx="17">
                  <c:v>15.74915</c:v>
                </c:pt>
                <c:pt idx="18">
                  <c:v>15.4991</c:v>
                </c:pt>
                <c:pt idx="19">
                  <c:v>15.24905</c:v>
                </c:pt>
                <c:pt idx="20">
                  <c:v>14.998999999999999</c:v>
                </c:pt>
                <c:pt idx="21">
                  <c:v>14.748950000000001</c:v>
                </c:pt>
                <c:pt idx="22">
                  <c:v>14.498899999999999</c:v>
                </c:pt>
                <c:pt idx="23">
                  <c:v>14.248850000000001</c:v>
                </c:pt>
                <c:pt idx="24">
                  <c:v>13.998799999999999</c:v>
                </c:pt>
                <c:pt idx="25">
                  <c:v>13.748750000000001</c:v>
                </c:pt>
                <c:pt idx="26">
                  <c:v>13.498699999999999</c:v>
                </c:pt>
                <c:pt idx="27">
                  <c:v>13.24865</c:v>
                </c:pt>
                <c:pt idx="28">
                  <c:v>12.9986</c:v>
                </c:pt>
                <c:pt idx="29">
                  <c:v>12.748550000000002</c:v>
                </c:pt>
                <c:pt idx="30">
                  <c:v>12.4985</c:v>
                </c:pt>
                <c:pt idx="31">
                  <c:v>12.24845</c:v>
                </c:pt>
                <c:pt idx="32">
                  <c:v>11.9984</c:v>
                </c:pt>
                <c:pt idx="33">
                  <c:v>11.74835</c:v>
                </c:pt>
                <c:pt idx="34">
                  <c:v>11.4983</c:v>
                </c:pt>
                <c:pt idx="35">
                  <c:v>11.248250000000001</c:v>
                </c:pt>
                <c:pt idx="36">
                  <c:v>10.998200000000001</c:v>
                </c:pt>
                <c:pt idx="37">
                  <c:v>10.748149999999999</c:v>
                </c:pt>
                <c:pt idx="38">
                  <c:v>10.498100000000001</c:v>
                </c:pt>
                <c:pt idx="39">
                  <c:v>10.248050000000001</c:v>
                </c:pt>
                <c:pt idx="40">
                  <c:v>9.9979999999999993</c:v>
                </c:pt>
                <c:pt idx="41">
                  <c:v>9.7479499999999994</c:v>
                </c:pt>
                <c:pt idx="42">
                  <c:v>9.4979000000000013</c:v>
                </c:pt>
                <c:pt idx="43">
                  <c:v>9.2478499999999997</c:v>
                </c:pt>
                <c:pt idx="44">
                  <c:v>8.9977999999999998</c:v>
                </c:pt>
                <c:pt idx="45">
                  <c:v>8.7477500000000017</c:v>
                </c:pt>
                <c:pt idx="46">
                  <c:v>8.4977</c:v>
                </c:pt>
                <c:pt idx="47">
                  <c:v>8.2476500000000001</c:v>
                </c:pt>
                <c:pt idx="48">
                  <c:v>7.9976000000000003</c:v>
                </c:pt>
                <c:pt idx="49">
                  <c:v>7.7475500000000004</c:v>
                </c:pt>
                <c:pt idx="50">
                  <c:v>7.4975000000000005</c:v>
                </c:pt>
                <c:pt idx="51">
                  <c:v>7.2474499999999988</c:v>
                </c:pt>
                <c:pt idx="52">
                  <c:v>6.9974000000000007</c:v>
                </c:pt>
                <c:pt idx="53">
                  <c:v>6.7473499999999991</c:v>
                </c:pt>
                <c:pt idx="54">
                  <c:v>6.4972999999999992</c:v>
                </c:pt>
                <c:pt idx="55">
                  <c:v>6.2472500000000011</c:v>
                </c:pt>
                <c:pt idx="56">
                  <c:v>5.9971999999999994</c:v>
                </c:pt>
                <c:pt idx="57">
                  <c:v>5.7471499999999995</c:v>
                </c:pt>
                <c:pt idx="58">
                  <c:v>5.4971000000000014</c:v>
                </c:pt>
                <c:pt idx="59">
                  <c:v>5.2470499999999998</c:v>
                </c:pt>
                <c:pt idx="60">
                  <c:v>4.9969999999999999</c:v>
                </c:pt>
                <c:pt idx="61">
                  <c:v>4.7469499999999982</c:v>
                </c:pt>
                <c:pt idx="62">
                  <c:v>4.4969000000000001</c:v>
                </c:pt>
                <c:pt idx="63">
                  <c:v>4.2468500000000002</c:v>
                </c:pt>
                <c:pt idx="64">
                  <c:v>3.9968000000000004</c:v>
                </c:pt>
                <c:pt idx="65">
                  <c:v>3.7467500000000022</c:v>
                </c:pt>
                <c:pt idx="66">
                  <c:v>3.4967000000000006</c:v>
                </c:pt>
                <c:pt idx="67">
                  <c:v>3.2466499999999989</c:v>
                </c:pt>
                <c:pt idx="68">
                  <c:v>2.9966000000000008</c:v>
                </c:pt>
                <c:pt idx="69">
                  <c:v>2.7465499999999992</c:v>
                </c:pt>
                <c:pt idx="70">
                  <c:v>2.4965000000000011</c:v>
                </c:pt>
                <c:pt idx="71">
                  <c:v>2.2464499999999994</c:v>
                </c:pt>
                <c:pt idx="72">
                  <c:v>1.9964000000000013</c:v>
                </c:pt>
                <c:pt idx="73">
                  <c:v>1.7463499999999996</c:v>
                </c:pt>
                <c:pt idx="74">
                  <c:v>1.496299999999998</c:v>
                </c:pt>
                <c:pt idx="75">
                  <c:v>1.2462499999999999</c:v>
                </c:pt>
                <c:pt idx="76">
                  <c:v>0.99620000000000175</c:v>
                </c:pt>
                <c:pt idx="77">
                  <c:v>0.74615000000000009</c:v>
                </c:pt>
                <c:pt idx="78">
                  <c:v>0.49610000000000198</c:v>
                </c:pt>
                <c:pt idx="79">
                  <c:v>0.24604999999999677</c:v>
                </c:pt>
                <c:pt idx="80">
                  <c:v>-4.0000000000013358E-3</c:v>
                </c:pt>
                <c:pt idx="81">
                  <c:v>-0.25404999999999944</c:v>
                </c:pt>
                <c:pt idx="82">
                  <c:v>-0.5041000000000011</c:v>
                </c:pt>
                <c:pt idx="83">
                  <c:v>-0.75414999999999921</c:v>
                </c:pt>
                <c:pt idx="84">
                  <c:v>-1.0041999999999973</c:v>
                </c:pt>
                <c:pt idx="85">
                  <c:v>-1.2542500000000025</c:v>
                </c:pt>
                <c:pt idx="86">
                  <c:v>-1.5043000000000006</c:v>
                </c:pt>
                <c:pt idx="87">
                  <c:v>-1.7543499999999987</c:v>
                </c:pt>
                <c:pt idx="88">
                  <c:v>-2.0044000000000004</c:v>
                </c:pt>
                <c:pt idx="89">
                  <c:v>-2.2544499999999985</c:v>
                </c:pt>
                <c:pt idx="90">
                  <c:v>-2.5044999999999966</c:v>
                </c:pt>
                <c:pt idx="91">
                  <c:v>-2.7545500000000018</c:v>
                </c:pt>
                <c:pt idx="92">
                  <c:v>-3.0045999999999999</c:v>
                </c:pt>
                <c:pt idx="93">
                  <c:v>-3.254649999999998</c:v>
                </c:pt>
                <c:pt idx="94">
                  <c:v>-3.5046999999999997</c:v>
                </c:pt>
                <c:pt idx="95">
                  <c:v>-3.7547499999999978</c:v>
                </c:pt>
                <c:pt idx="96">
                  <c:v>-4.0047999999999995</c:v>
                </c:pt>
                <c:pt idx="97">
                  <c:v>-4.2548500000000011</c:v>
                </c:pt>
                <c:pt idx="98">
                  <c:v>-4.5048999999999992</c:v>
                </c:pt>
                <c:pt idx="99">
                  <c:v>-4.7549500000000009</c:v>
                </c:pt>
                <c:pt idx="100">
                  <c:v>-5.004999999999999</c:v>
                </c:pt>
                <c:pt idx="101">
                  <c:v>-5.2550500000000007</c:v>
                </c:pt>
                <c:pt idx="102">
                  <c:v>-5.5051000000000023</c:v>
                </c:pt>
                <c:pt idx="103">
                  <c:v>-5.7551500000000004</c:v>
                </c:pt>
                <c:pt idx="104">
                  <c:v>-6.0051999999999985</c:v>
                </c:pt>
                <c:pt idx="105">
                  <c:v>-6.2552500000000002</c:v>
                </c:pt>
                <c:pt idx="106">
                  <c:v>-6.5053000000000019</c:v>
                </c:pt>
                <c:pt idx="107">
                  <c:v>-6.75535</c:v>
                </c:pt>
                <c:pt idx="108">
                  <c:v>-7.0054000000000016</c:v>
                </c:pt>
                <c:pt idx="109">
                  <c:v>-7.2554499999999997</c:v>
                </c:pt>
                <c:pt idx="110">
                  <c:v>-7.5054999999999978</c:v>
                </c:pt>
                <c:pt idx="111">
                  <c:v>-7.7555499999999995</c:v>
                </c:pt>
                <c:pt idx="112">
                  <c:v>-8.0056000000000012</c:v>
                </c:pt>
                <c:pt idx="113">
                  <c:v>-8.2556499999999993</c:v>
                </c:pt>
                <c:pt idx="114">
                  <c:v>-8.5057000000000009</c:v>
                </c:pt>
                <c:pt idx="115">
                  <c:v>-8.755749999999999</c:v>
                </c:pt>
                <c:pt idx="116">
                  <c:v>-9.0057999999999971</c:v>
                </c:pt>
                <c:pt idx="117">
                  <c:v>-9.2558500000000024</c:v>
                </c:pt>
                <c:pt idx="118">
                  <c:v>-9.5059000000000005</c:v>
                </c:pt>
                <c:pt idx="119">
                  <c:v>-9.7559500000000021</c:v>
                </c:pt>
                <c:pt idx="120">
                  <c:v>-10.006</c:v>
                </c:pt>
                <c:pt idx="121">
                  <c:v>-10.256049999999998</c:v>
                </c:pt>
                <c:pt idx="122">
                  <c:v>-10.506100000000004</c:v>
                </c:pt>
                <c:pt idx="123">
                  <c:v>-10.756150000000002</c:v>
                </c:pt>
                <c:pt idx="124">
                  <c:v>-11.0062</c:v>
                </c:pt>
                <c:pt idx="125">
                  <c:v>-11.256250000000001</c:v>
                </c:pt>
                <c:pt idx="126">
                  <c:v>-11.5063</c:v>
                </c:pt>
                <c:pt idx="127">
                  <c:v>-11.756349999999998</c:v>
                </c:pt>
                <c:pt idx="128">
                  <c:v>-12.006399999999999</c:v>
                </c:pt>
                <c:pt idx="129">
                  <c:v>-12.256450000000001</c:v>
                </c:pt>
                <c:pt idx="130">
                  <c:v>-12.506499999999996</c:v>
                </c:pt>
                <c:pt idx="131">
                  <c:v>-12.756550000000004</c:v>
                </c:pt>
                <c:pt idx="132">
                  <c:v>-13.006599999999999</c:v>
                </c:pt>
                <c:pt idx="133">
                  <c:v>-13.25665</c:v>
                </c:pt>
                <c:pt idx="134">
                  <c:v>-13.506700000000002</c:v>
                </c:pt>
                <c:pt idx="135">
                  <c:v>-13.756749999999997</c:v>
                </c:pt>
                <c:pt idx="136">
                  <c:v>-14.006799999999998</c:v>
                </c:pt>
                <c:pt idx="137">
                  <c:v>-14.25685</c:v>
                </c:pt>
                <c:pt idx="138">
                  <c:v>-14.506900000000002</c:v>
                </c:pt>
                <c:pt idx="139">
                  <c:v>-14.756949999999996</c:v>
                </c:pt>
                <c:pt idx="140">
                  <c:v>-15.006999999999998</c:v>
                </c:pt>
                <c:pt idx="141">
                  <c:v>-15.25705</c:v>
                </c:pt>
                <c:pt idx="142">
                  <c:v>-15.507100000000001</c:v>
                </c:pt>
                <c:pt idx="143">
                  <c:v>-15.757150000000003</c:v>
                </c:pt>
                <c:pt idx="144">
                  <c:v>-16.007199999999997</c:v>
                </c:pt>
                <c:pt idx="145">
                  <c:v>-16.257249999999999</c:v>
                </c:pt>
                <c:pt idx="146">
                  <c:v>-16.507300000000001</c:v>
                </c:pt>
                <c:pt idx="147">
                  <c:v>-16.757349999999995</c:v>
                </c:pt>
                <c:pt idx="148">
                  <c:v>-17.007400000000004</c:v>
                </c:pt>
                <c:pt idx="149">
                  <c:v>-17.257449999999999</c:v>
                </c:pt>
                <c:pt idx="150">
                  <c:v>-17.5075</c:v>
                </c:pt>
                <c:pt idx="151">
                  <c:v>-17.757550000000002</c:v>
                </c:pt>
                <c:pt idx="152">
                  <c:v>-18.007599999999996</c:v>
                </c:pt>
                <c:pt idx="153">
                  <c:v>-18.257649999999998</c:v>
                </c:pt>
                <c:pt idx="154">
                  <c:v>-18.5077</c:v>
                </c:pt>
                <c:pt idx="155">
                  <c:v>-18.757750000000001</c:v>
                </c:pt>
                <c:pt idx="156">
                  <c:v>-19.007799999999996</c:v>
                </c:pt>
                <c:pt idx="157">
                  <c:v>-19.257849999999998</c:v>
                </c:pt>
                <c:pt idx="158">
                  <c:v>-19.507900000000006</c:v>
                </c:pt>
                <c:pt idx="159">
                  <c:v>-19.757950000000001</c:v>
                </c:pt>
                <c:pt idx="160">
                  <c:v>-20.008000000000003</c:v>
                </c:pt>
                <c:pt idx="161">
                  <c:v>-20.258049999999997</c:v>
                </c:pt>
                <c:pt idx="162">
                  <c:v>-20.508099999999999</c:v>
                </c:pt>
                <c:pt idx="163">
                  <c:v>-20.758149999999993</c:v>
                </c:pt>
                <c:pt idx="164">
                  <c:v>-21.008200000000002</c:v>
                </c:pt>
                <c:pt idx="165">
                  <c:v>-21.258250000000004</c:v>
                </c:pt>
                <c:pt idx="166">
                  <c:v>-21.508299999999998</c:v>
                </c:pt>
                <c:pt idx="167">
                  <c:v>-21.75835</c:v>
                </c:pt>
                <c:pt idx="168">
                  <c:v>-22.008399999999995</c:v>
                </c:pt>
                <c:pt idx="169">
                  <c:v>-22.258449999999996</c:v>
                </c:pt>
                <c:pt idx="170">
                  <c:v>-22.508500000000005</c:v>
                </c:pt>
                <c:pt idx="171">
                  <c:v>-22.75855</c:v>
                </c:pt>
                <c:pt idx="172">
                  <c:v>-23.008600000000001</c:v>
                </c:pt>
                <c:pt idx="173">
                  <c:v>-23.258649999999996</c:v>
                </c:pt>
                <c:pt idx="174">
                  <c:v>-23.508699999999997</c:v>
                </c:pt>
                <c:pt idx="175">
                  <c:v>-23.758750000000006</c:v>
                </c:pt>
                <c:pt idx="176">
                  <c:v>-24.008800000000001</c:v>
                </c:pt>
                <c:pt idx="177">
                  <c:v>-24.258850000000002</c:v>
                </c:pt>
                <c:pt idx="178">
                  <c:v>-24.508899999999997</c:v>
                </c:pt>
                <c:pt idx="179">
                  <c:v>-24.758949999999999</c:v>
                </c:pt>
                <c:pt idx="180">
                  <c:v>-25.008999999999993</c:v>
                </c:pt>
                <c:pt idx="181">
                  <c:v>-25.259050000000002</c:v>
                </c:pt>
                <c:pt idx="182">
                  <c:v>-25.509100000000004</c:v>
                </c:pt>
                <c:pt idx="183">
                  <c:v>-25.759149999999998</c:v>
                </c:pt>
                <c:pt idx="184">
                  <c:v>-26.0092</c:v>
                </c:pt>
                <c:pt idx="185">
                  <c:v>-26.259249999999994</c:v>
                </c:pt>
                <c:pt idx="186">
                  <c:v>-26.509299999999996</c:v>
                </c:pt>
                <c:pt idx="187">
                  <c:v>-26.759350000000005</c:v>
                </c:pt>
                <c:pt idx="188">
                  <c:v>-27.009399999999999</c:v>
                </c:pt>
                <c:pt idx="189">
                  <c:v>-27.259450000000001</c:v>
                </c:pt>
                <c:pt idx="190">
                  <c:v>-27.509499999999996</c:v>
                </c:pt>
                <c:pt idx="191">
                  <c:v>-27.759549999999997</c:v>
                </c:pt>
                <c:pt idx="192">
                  <c:v>-28.009599999999999</c:v>
                </c:pt>
                <c:pt idx="193">
                  <c:v>-28.259650000000001</c:v>
                </c:pt>
                <c:pt idx="194">
                  <c:v>-28.509700000000002</c:v>
                </c:pt>
                <c:pt idx="195">
                  <c:v>-28.759749999999997</c:v>
                </c:pt>
                <c:pt idx="196">
                  <c:v>-29.009799999999998</c:v>
                </c:pt>
                <c:pt idx="197">
                  <c:v>-29.25985</c:v>
                </c:pt>
                <c:pt idx="198">
                  <c:v>-29.509900000000002</c:v>
                </c:pt>
                <c:pt idx="199">
                  <c:v>-29.759950000000003</c:v>
                </c:pt>
                <c:pt idx="200">
                  <c:v>-30.009999999999998</c:v>
                </c:pt>
                <c:pt idx="201">
                  <c:v>-30.26005</c:v>
                </c:pt>
                <c:pt idx="202">
                  <c:v>-30.510100000000001</c:v>
                </c:pt>
                <c:pt idx="203">
                  <c:v>-30.760149999999996</c:v>
                </c:pt>
                <c:pt idx="204">
                  <c:v>-31.010200000000005</c:v>
                </c:pt>
                <c:pt idx="205">
                  <c:v>-31.260249999999999</c:v>
                </c:pt>
                <c:pt idx="206">
                  <c:v>-31.510300000000001</c:v>
                </c:pt>
                <c:pt idx="207">
                  <c:v>-31.760350000000003</c:v>
                </c:pt>
                <c:pt idx="208">
                  <c:v>-32.010399999999997</c:v>
                </c:pt>
                <c:pt idx="209">
                  <c:v>-32.260449999999999</c:v>
                </c:pt>
                <c:pt idx="210">
                  <c:v>-32.5105</c:v>
                </c:pt>
                <c:pt idx="211">
                  <c:v>-32.760550000000002</c:v>
                </c:pt>
                <c:pt idx="212">
                  <c:v>-33.010600000000004</c:v>
                </c:pt>
                <c:pt idx="213">
                  <c:v>-33.260649999999998</c:v>
                </c:pt>
                <c:pt idx="214">
                  <c:v>-33.5107</c:v>
                </c:pt>
                <c:pt idx="215">
                  <c:v>-33.760749999999994</c:v>
                </c:pt>
                <c:pt idx="216">
                  <c:v>-34.010800000000003</c:v>
                </c:pt>
                <c:pt idx="217">
                  <c:v>-34.260849999999998</c:v>
                </c:pt>
                <c:pt idx="218">
                  <c:v>-34.510899999999999</c:v>
                </c:pt>
                <c:pt idx="219">
                  <c:v>-34.760950000000001</c:v>
                </c:pt>
                <c:pt idx="220">
                  <c:v>-35.010999999999996</c:v>
                </c:pt>
                <c:pt idx="221">
                  <c:v>-35.261050000000004</c:v>
                </c:pt>
                <c:pt idx="222">
                  <c:v>-35.511099999999999</c:v>
                </c:pt>
                <c:pt idx="223">
                  <c:v>-35.761150000000001</c:v>
                </c:pt>
                <c:pt idx="224">
                  <c:v>-36.011200000000002</c:v>
                </c:pt>
                <c:pt idx="225">
                  <c:v>-36.261249999999997</c:v>
                </c:pt>
                <c:pt idx="226">
                  <c:v>-36.511299999999999</c:v>
                </c:pt>
                <c:pt idx="227">
                  <c:v>-36.76135</c:v>
                </c:pt>
                <c:pt idx="228">
                  <c:v>-37.011400000000002</c:v>
                </c:pt>
                <c:pt idx="229">
                  <c:v>-37.261450000000004</c:v>
                </c:pt>
                <c:pt idx="230">
                  <c:v>-37.511499999999998</c:v>
                </c:pt>
                <c:pt idx="231">
                  <c:v>-37.76155</c:v>
                </c:pt>
                <c:pt idx="232">
                  <c:v>-38.011599999999994</c:v>
                </c:pt>
                <c:pt idx="233">
                  <c:v>-38.261650000000003</c:v>
                </c:pt>
                <c:pt idx="234">
                  <c:v>-38.511700000000005</c:v>
                </c:pt>
                <c:pt idx="235">
                  <c:v>-38.761749999999999</c:v>
                </c:pt>
                <c:pt idx="236">
                  <c:v>-39.011800000000001</c:v>
                </c:pt>
                <c:pt idx="237">
                  <c:v>-39.261849999999995</c:v>
                </c:pt>
                <c:pt idx="238">
                  <c:v>-39.511900000000004</c:v>
                </c:pt>
                <c:pt idx="239">
                  <c:v>-39.761950000000006</c:v>
                </c:pt>
                <c:pt idx="240">
                  <c:v>-40.012</c:v>
                </c:pt>
                <c:pt idx="241">
                  <c:v>-40.262050000000002</c:v>
                </c:pt>
                <c:pt idx="242">
                  <c:v>-40.512099999999997</c:v>
                </c:pt>
                <c:pt idx="243">
                  <c:v>-40.762149999999998</c:v>
                </c:pt>
                <c:pt idx="244">
                  <c:v>-41.012200000000007</c:v>
                </c:pt>
                <c:pt idx="245">
                  <c:v>-41.262250000000002</c:v>
                </c:pt>
                <c:pt idx="246">
                  <c:v>-41.512300000000003</c:v>
                </c:pt>
                <c:pt idx="247">
                  <c:v>-41.762349999999998</c:v>
                </c:pt>
                <c:pt idx="248">
                  <c:v>-42.0124</c:v>
                </c:pt>
                <c:pt idx="249">
                  <c:v>-42.262449999999994</c:v>
                </c:pt>
                <c:pt idx="250">
                  <c:v>-42.512500000000003</c:v>
                </c:pt>
              </c:numCache>
            </c:numRef>
          </c:yVal>
          <c:smooth val="1"/>
        </c:ser>
        <c:ser>
          <c:idx val="6"/>
          <c:order val="5"/>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hx!$L$5:$L$255</c:f>
              <c:numCache>
                <c:formatCode>0.00</c:formatCode>
                <c:ptCount val="251"/>
                <c:pt idx="0">
                  <c:v>30</c:v>
                </c:pt>
                <c:pt idx="1">
                  <c:v>29.749949999999998</c:v>
                </c:pt>
                <c:pt idx="2">
                  <c:v>29.4999</c:v>
                </c:pt>
                <c:pt idx="3">
                  <c:v>29.249849999999999</c:v>
                </c:pt>
                <c:pt idx="4">
                  <c:v>28.9998</c:v>
                </c:pt>
                <c:pt idx="5">
                  <c:v>28.749749999999999</c:v>
                </c:pt>
                <c:pt idx="6">
                  <c:v>28.499700000000001</c:v>
                </c:pt>
                <c:pt idx="7">
                  <c:v>28.249649999999999</c:v>
                </c:pt>
                <c:pt idx="8">
                  <c:v>27.999600000000001</c:v>
                </c:pt>
                <c:pt idx="9">
                  <c:v>27.749549999999999</c:v>
                </c:pt>
                <c:pt idx="10">
                  <c:v>27.499500000000001</c:v>
                </c:pt>
                <c:pt idx="11">
                  <c:v>27.24945</c:v>
                </c:pt>
                <c:pt idx="12">
                  <c:v>26.999400000000001</c:v>
                </c:pt>
                <c:pt idx="13">
                  <c:v>26.74935</c:v>
                </c:pt>
                <c:pt idx="14">
                  <c:v>26.499299999999998</c:v>
                </c:pt>
                <c:pt idx="15">
                  <c:v>26.24925</c:v>
                </c:pt>
                <c:pt idx="16">
                  <c:v>25.999200000000002</c:v>
                </c:pt>
                <c:pt idx="17">
                  <c:v>25.74915</c:v>
                </c:pt>
                <c:pt idx="18">
                  <c:v>25.499099999999999</c:v>
                </c:pt>
                <c:pt idx="19">
                  <c:v>25.24905</c:v>
                </c:pt>
                <c:pt idx="20">
                  <c:v>24.998999999999999</c:v>
                </c:pt>
                <c:pt idx="21">
                  <c:v>24.748950000000001</c:v>
                </c:pt>
                <c:pt idx="22">
                  <c:v>24.498899999999999</c:v>
                </c:pt>
                <c:pt idx="23">
                  <c:v>24.248850000000001</c:v>
                </c:pt>
                <c:pt idx="24">
                  <c:v>23.998799999999999</c:v>
                </c:pt>
                <c:pt idx="25">
                  <c:v>23.748750000000001</c:v>
                </c:pt>
                <c:pt idx="26">
                  <c:v>23.498699999999999</c:v>
                </c:pt>
                <c:pt idx="27">
                  <c:v>23.248649999999998</c:v>
                </c:pt>
                <c:pt idx="28">
                  <c:v>22.9986</c:v>
                </c:pt>
                <c:pt idx="29">
                  <c:v>22.748550000000002</c:v>
                </c:pt>
                <c:pt idx="30">
                  <c:v>22.4985</c:v>
                </c:pt>
                <c:pt idx="31">
                  <c:v>22.248449999999998</c:v>
                </c:pt>
                <c:pt idx="32">
                  <c:v>21.9984</c:v>
                </c:pt>
                <c:pt idx="33">
                  <c:v>21.748350000000002</c:v>
                </c:pt>
                <c:pt idx="34">
                  <c:v>21.4983</c:v>
                </c:pt>
                <c:pt idx="35">
                  <c:v>21.248249999999999</c:v>
                </c:pt>
                <c:pt idx="36">
                  <c:v>20.998200000000001</c:v>
                </c:pt>
                <c:pt idx="37">
                  <c:v>20.748149999999999</c:v>
                </c:pt>
                <c:pt idx="38">
                  <c:v>20.498100000000001</c:v>
                </c:pt>
                <c:pt idx="39">
                  <c:v>20.248049999999999</c:v>
                </c:pt>
                <c:pt idx="40">
                  <c:v>19.997999999999998</c:v>
                </c:pt>
                <c:pt idx="41">
                  <c:v>19.747949999999999</c:v>
                </c:pt>
                <c:pt idx="42">
                  <c:v>19.497900000000001</c:v>
                </c:pt>
                <c:pt idx="43">
                  <c:v>19.24785</c:v>
                </c:pt>
                <c:pt idx="44">
                  <c:v>18.997799999999998</c:v>
                </c:pt>
                <c:pt idx="45">
                  <c:v>18.747750000000003</c:v>
                </c:pt>
                <c:pt idx="46">
                  <c:v>18.497700000000002</c:v>
                </c:pt>
                <c:pt idx="47">
                  <c:v>18.24765</c:v>
                </c:pt>
                <c:pt idx="48">
                  <c:v>17.997599999999998</c:v>
                </c:pt>
                <c:pt idx="49">
                  <c:v>17.74755</c:v>
                </c:pt>
                <c:pt idx="50">
                  <c:v>17.497500000000002</c:v>
                </c:pt>
                <c:pt idx="51">
                  <c:v>17.247450000000001</c:v>
                </c:pt>
                <c:pt idx="52">
                  <c:v>16.997399999999999</c:v>
                </c:pt>
                <c:pt idx="53">
                  <c:v>16.747349999999997</c:v>
                </c:pt>
                <c:pt idx="54">
                  <c:v>16.497299999999999</c:v>
                </c:pt>
                <c:pt idx="55">
                  <c:v>16.247250000000001</c:v>
                </c:pt>
                <c:pt idx="56">
                  <c:v>15.997199999999999</c:v>
                </c:pt>
                <c:pt idx="57">
                  <c:v>15.74715</c:v>
                </c:pt>
                <c:pt idx="58">
                  <c:v>15.497100000000001</c:v>
                </c:pt>
                <c:pt idx="59">
                  <c:v>15.24705</c:v>
                </c:pt>
                <c:pt idx="60">
                  <c:v>14.997</c:v>
                </c:pt>
                <c:pt idx="61">
                  <c:v>14.746949999999998</c:v>
                </c:pt>
                <c:pt idx="62">
                  <c:v>14.4969</c:v>
                </c:pt>
                <c:pt idx="63">
                  <c:v>14.24685</c:v>
                </c:pt>
                <c:pt idx="64">
                  <c:v>13.9968</c:v>
                </c:pt>
                <c:pt idx="65">
                  <c:v>13.746750000000002</c:v>
                </c:pt>
                <c:pt idx="66">
                  <c:v>13.496700000000001</c:v>
                </c:pt>
                <c:pt idx="67">
                  <c:v>13.246649999999999</c:v>
                </c:pt>
                <c:pt idx="68">
                  <c:v>12.996600000000001</c:v>
                </c:pt>
                <c:pt idx="69">
                  <c:v>12.746549999999999</c:v>
                </c:pt>
                <c:pt idx="70">
                  <c:v>12.496500000000001</c:v>
                </c:pt>
                <c:pt idx="71">
                  <c:v>12.246449999999999</c:v>
                </c:pt>
                <c:pt idx="72">
                  <c:v>11.996400000000001</c:v>
                </c:pt>
                <c:pt idx="73">
                  <c:v>11.74635</c:v>
                </c:pt>
                <c:pt idx="74">
                  <c:v>11.496299999999998</c:v>
                </c:pt>
                <c:pt idx="75">
                  <c:v>11.24625</c:v>
                </c:pt>
                <c:pt idx="76">
                  <c:v>10.996200000000002</c:v>
                </c:pt>
                <c:pt idx="77">
                  <c:v>10.74615</c:v>
                </c:pt>
                <c:pt idx="78">
                  <c:v>10.496100000000002</c:v>
                </c:pt>
                <c:pt idx="79">
                  <c:v>10.246049999999997</c:v>
                </c:pt>
                <c:pt idx="80">
                  <c:v>9.9959999999999987</c:v>
                </c:pt>
                <c:pt idx="81">
                  <c:v>9.7459500000000006</c:v>
                </c:pt>
                <c:pt idx="82">
                  <c:v>9.4958999999999989</c:v>
                </c:pt>
                <c:pt idx="83">
                  <c:v>9.2458500000000008</c:v>
                </c:pt>
                <c:pt idx="84">
                  <c:v>8.9958000000000027</c:v>
                </c:pt>
                <c:pt idx="85">
                  <c:v>8.7457499999999975</c:v>
                </c:pt>
                <c:pt idx="86">
                  <c:v>8.4956999999999994</c:v>
                </c:pt>
                <c:pt idx="87">
                  <c:v>8.2456500000000013</c:v>
                </c:pt>
                <c:pt idx="88">
                  <c:v>7.9955999999999996</c:v>
                </c:pt>
                <c:pt idx="89">
                  <c:v>7.7455500000000015</c:v>
                </c:pt>
                <c:pt idx="90">
                  <c:v>7.4955000000000034</c:v>
                </c:pt>
                <c:pt idx="91">
                  <c:v>7.2454499999999982</c:v>
                </c:pt>
                <c:pt idx="92">
                  <c:v>6.9954000000000001</c:v>
                </c:pt>
                <c:pt idx="93">
                  <c:v>6.745350000000002</c:v>
                </c:pt>
                <c:pt idx="94">
                  <c:v>6.4953000000000003</c:v>
                </c:pt>
                <c:pt idx="95">
                  <c:v>6.2452500000000022</c:v>
                </c:pt>
                <c:pt idx="96">
                  <c:v>5.9952000000000005</c:v>
                </c:pt>
                <c:pt idx="97">
                  <c:v>5.7451499999999989</c:v>
                </c:pt>
                <c:pt idx="98">
                  <c:v>5.4951000000000008</c:v>
                </c:pt>
                <c:pt idx="99">
                  <c:v>5.2450499999999991</c:v>
                </c:pt>
                <c:pt idx="100">
                  <c:v>4.995000000000001</c:v>
                </c:pt>
                <c:pt idx="101">
                  <c:v>4.7449499999999993</c:v>
                </c:pt>
                <c:pt idx="102">
                  <c:v>4.4948999999999977</c:v>
                </c:pt>
                <c:pt idx="103">
                  <c:v>4.2448499999999996</c:v>
                </c:pt>
                <c:pt idx="104">
                  <c:v>3.9948000000000015</c:v>
                </c:pt>
                <c:pt idx="105">
                  <c:v>3.7447499999999998</c:v>
                </c:pt>
                <c:pt idx="106">
                  <c:v>3.4946999999999981</c:v>
                </c:pt>
                <c:pt idx="107">
                  <c:v>3.24465</c:v>
                </c:pt>
                <c:pt idx="108">
                  <c:v>2.9945999999999984</c:v>
                </c:pt>
                <c:pt idx="109">
                  <c:v>2.7445500000000003</c:v>
                </c:pt>
                <c:pt idx="110">
                  <c:v>2.4945000000000022</c:v>
                </c:pt>
                <c:pt idx="111">
                  <c:v>2.2444500000000005</c:v>
                </c:pt>
                <c:pt idx="112">
                  <c:v>1.9943999999999988</c:v>
                </c:pt>
                <c:pt idx="113">
                  <c:v>1.7443500000000007</c:v>
                </c:pt>
                <c:pt idx="114">
                  <c:v>1.4942999999999991</c:v>
                </c:pt>
                <c:pt idx="115">
                  <c:v>1.244250000000001</c:v>
                </c:pt>
                <c:pt idx="116">
                  <c:v>0.99420000000000286</c:v>
                </c:pt>
                <c:pt idx="117">
                  <c:v>0.74414999999999765</c:v>
                </c:pt>
                <c:pt idx="118">
                  <c:v>0.49409999999999954</c:v>
                </c:pt>
                <c:pt idx="119">
                  <c:v>0.24404999999999788</c:v>
                </c:pt>
                <c:pt idx="120">
                  <c:v>-6.0000000000002274E-3</c:v>
                </c:pt>
                <c:pt idx="121">
                  <c:v>-0.25604999999999833</c:v>
                </c:pt>
                <c:pt idx="122">
                  <c:v>-0.50610000000000355</c:v>
                </c:pt>
                <c:pt idx="123">
                  <c:v>-0.75615000000000165</c:v>
                </c:pt>
                <c:pt idx="124">
                  <c:v>-1.0061999999999998</c:v>
                </c:pt>
                <c:pt idx="125">
                  <c:v>-1.2562500000000014</c:v>
                </c:pt>
                <c:pt idx="126">
                  <c:v>-1.5062999999999995</c:v>
                </c:pt>
                <c:pt idx="127">
                  <c:v>-1.7563499999999976</c:v>
                </c:pt>
                <c:pt idx="128">
                  <c:v>-2.0063999999999993</c:v>
                </c:pt>
                <c:pt idx="129">
                  <c:v>-2.256450000000001</c:v>
                </c:pt>
                <c:pt idx="130">
                  <c:v>-2.5064999999999955</c:v>
                </c:pt>
                <c:pt idx="131">
                  <c:v>-2.7565500000000043</c:v>
                </c:pt>
                <c:pt idx="132">
                  <c:v>-3.0065999999999988</c:v>
                </c:pt>
                <c:pt idx="133">
                  <c:v>-3.2566500000000005</c:v>
                </c:pt>
                <c:pt idx="134">
                  <c:v>-3.5067000000000021</c:v>
                </c:pt>
                <c:pt idx="135">
                  <c:v>-3.7567499999999967</c:v>
                </c:pt>
                <c:pt idx="136">
                  <c:v>-4.0067999999999984</c:v>
                </c:pt>
                <c:pt idx="137">
                  <c:v>-4.25685</c:v>
                </c:pt>
                <c:pt idx="138">
                  <c:v>-4.5069000000000017</c:v>
                </c:pt>
                <c:pt idx="139">
                  <c:v>-4.7569499999999962</c:v>
                </c:pt>
                <c:pt idx="140">
                  <c:v>-5.0069999999999979</c:v>
                </c:pt>
                <c:pt idx="141">
                  <c:v>-5.2570499999999996</c:v>
                </c:pt>
                <c:pt idx="142">
                  <c:v>-5.5071000000000012</c:v>
                </c:pt>
                <c:pt idx="143">
                  <c:v>-5.7571500000000029</c:v>
                </c:pt>
                <c:pt idx="144">
                  <c:v>-6.0071999999999974</c:v>
                </c:pt>
                <c:pt idx="145">
                  <c:v>-6.2572499999999991</c:v>
                </c:pt>
                <c:pt idx="146">
                  <c:v>-6.5073000000000008</c:v>
                </c:pt>
                <c:pt idx="147">
                  <c:v>-6.7573499999999953</c:v>
                </c:pt>
                <c:pt idx="148">
                  <c:v>-7.0074000000000041</c:v>
                </c:pt>
                <c:pt idx="149">
                  <c:v>-7.2574499999999986</c:v>
                </c:pt>
                <c:pt idx="150">
                  <c:v>-7.5075000000000003</c:v>
                </c:pt>
                <c:pt idx="151">
                  <c:v>-7.7575500000000019</c:v>
                </c:pt>
                <c:pt idx="152">
                  <c:v>-8.0075999999999965</c:v>
                </c:pt>
                <c:pt idx="153">
                  <c:v>-8.2576499999999982</c:v>
                </c:pt>
                <c:pt idx="154">
                  <c:v>-8.5076999999999998</c:v>
                </c:pt>
                <c:pt idx="155">
                  <c:v>-8.7577500000000015</c:v>
                </c:pt>
                <c:pt idx="156">
                  <c:v>-9.007799999999996</c:v>
                </c:pt>
                <c:pt idx="157">
                  <c:v>-9.2578499999999977</c:v>
                </c:pt>
                <c:pt idx="158">
                  <c:v>-9.5079000000000065</c:v>
                </c:pt>
                <c:pt idx="159">
                  <c:v>-9.757950000000001</c:v>
                </c:pt>
                <c:pt idx="160">
                  <c:v>-10.008000000000003</c:v>
                </c:pt>
                <c:pt idx="161">
                  <c:v>-10.258049999999997</c:v>
                </c:pt>
                <c:pt idx="162">
                  <c:v>-10.508099999999999</c:v>
                </c:pt>
                <c:pt idx="163">
                  <c:v>-10.758149999999993</c:v>
                </c:pt>
                <c:pt idx="164">
                  <c:v>-11.008200000000002</c:v>
                </c:pt>
                <c:pt idx="165">
                  <c:v>-11.258250000000004</c:v>
                </c:pt>
                <c:pt idx="166">
                  <c:v>-11.508299999999998</c:v>
                </c:pt>
                <c:pt idx="167">
                  <c:v>-11.75835</c:v>
                </c:pt>
                <c:pt idx="168">
                  <c:v>-12.008399999999995</c:v>
                </c:pt>
                <c:pt idx="169">
                  <c:v>-12.258449999999996</c:v>
                </c:pt>
                <c:pt idx="170">
                  <c:v>-12.508500000000005</c:v>
                </c:pt>
                <c:pt idx="171">
                  <c:v>-12.75855</c:v>
                </c:pt>
                <c:pt idx="172">
                  <c:v>-13.008600000000001</c:v>
                </c:pt>
                <c:pt idx="173">
                  <c:v>-13.258649999999996</c:v>
                </c:pt>
                <c:pt idx="174">
                  <c:v>-13.508699999999997</c:v>
                </c:pt>
                <c:pt idx="175">
                  <c:v>-13.758750000000006</c:v>
                </c:pt>
                <c:pt idx="176">
                  <c:v>-14.008800000000001</c:v>
                </c:pt>
                <c:pt idx="177">
                  <c:v>-14.258850000000002</c:v>
                </c:pt>
                <c:pt idx="178">
                  <c:v>-14.508899999999997</c:v>
                </c:pt>
                <c:pt idx="179">
                  <c:v>-14.758949999999999</c:v>
                </c:pt>
                <c:pt idx="180">
                  <c:v>-15.008999999999993</c:v>
                </c:pt>
                <c:pt idx="181">
                  <c:v>-15.259050000000002</c:v>
                </c:pt>
                <c:pt idx="182">
                  <c:v>-15.509100000000004</c:v>
                </c:pt>
                <c:pt idx="183">
                  <c:v>-15.759149999999998</c:v>
                </c:pt>
                <c:pt idx="184">
                  <c:v>-16.0092</c:v>
                </c:pt>
                <c:pt idx="185">
                  <c:v>-16.259249999999994</c:v>
                </c:pt>
                <c:pt idx="186">
                  <c:v>-16.509299999999996</c:v>
                </c:pt>
                <c:pt idx="187">
                  <c:v>-16.759350000000005</c:v>
                </c:pt>
                <c:pt idx="188">
                  <c:v>-17.009399999999999</c:v>
                </c:pt>
                <c:pt idx="189">
                  <c:v>-17.259450000000001</c:v>
                </c:pt>
                <c:pt idx="190">
                  <c:v>-17.509499999999996</c:v>
                </c:pt>
                <c:pt idx="191">
                  <c:v>-17.759549999999997</c:v>
                </c:pt>
                <c:pt idx="192">
                  <c:v>-18.009599999999999</c:v>
                </c:pt>
                <c:pt idx="193">
                  <c:v>-18.259650000000001</c:v>
                </c:pt>
                <c:pt idx="194">
                  <c:v>-18.509700000000002</c:v>
                </c:pt>
                <c:pt idx="195">
                  <c:v>-18.759749999999997</c:v>
                </c:pt>
                <c:pt idx="196">
                  <c:v>-19.009799999999998</c:v>
                </c:pt>
                <c:pt idx="197">
                  <c:v>-19.25985</c:v>
                </c:pt>
                <c:pt idx="198">
                  <c:v>-19.509900000000002</c:v>
                </c:pt>
                <c:pt idx="199">
                  <c:v>-19.759950000000003</c:v>
                </c:pt>
                <c:pt idx="200">
                  <c:v>-20.009999999999998</c:v>
                </c:pt>
                <c:pt idx="201">
                  <c:v>-20.26005</c:v>
                </c:pt>
                <c:pt idx="202">
                  <c:v>-20.510100000000001</c:v>
                </c:pt>
                <c:pt idx="203">
                  <c:v>-20.760149999999996</c:v>
                </c:pt>
                <c:pt idx="204">
                  <c:v>-21.010200000000005</c:v>
                </c:pt>
                <c:pt idx="205">
                  <c:v>-21.260249999999999</c:v>
                </c:pt>
                <c:pt idx="206">
                  <c:v>-21.510300000000001</c:v>
                </c:pt>
                <c:pt idx="207">
                  <c:v>-21.760350000000003</c:v>
                </c:pt>
                <c:pt idx="208">
                  <c:v>-22.010399999999997</c:v>
                </c:pt>
                <c:pt idx="209">
                  <c:v>-22.260449999999999</c:v>
                </c:pt>
                <c:pt idx="210">
                  <c:v>-22.5105</c:v>
                </c:pt>
                <c:pt idx="211">
                  <c:v>-22.760550000000002</c:v>
                </c:pt>
                <c:pt idx="212">
                  <c:v>-23.010600000000004</c:v>
                </c:pt>
                <c:pt idx="213">
                  <c:v>-23.260649999999998</c:v>
                </c:pt>
                <c:pt idx="214">
                  <c:v>-23.5107</c:v>
                </c:pt>
                <c:pt idx="215">
                  <c:v>-23.760749999999994</c:v>
                </c:pt>
                <c:pt idx="216">
                  <c:v>-24.010800000000003</c:v>
                </c:pt>
                <c:pt idx="217">
                  <c:v>-24.260849999999998</c:v>
                </c:pt>
                <c:pt idx="218">
                  <c:v>-24.510899999999999</c:v>
                </c:pt>
                <c:pt idx="219">
                  <c:v>-24.760950000000001</c:v>
                </c:pt>
                <c:pt idx="220">
                  <c:v>-25.010999999999996</c:v>
                </c:pt>
                <c:pt idx="221">
                  <c:v>-25.261050000000004</c:v>
                </c:pt>
                <c:pt idx="222">
                  <c:v>-25.511099999999999</c:v>
                </c:pt>
                <c:pt idx="223">
                  <c:v>-25.761150000000001</c:v>
                </c:pt>
                <c:pt idx="224">
                  <c:v>-26.011200000000002</c:v>
                </c:pt>
                <c:pt idx="225">
                  <c:v>-26.261249999999997</c:v>
                </c:pt>
                <c:pt idx="226">
                  <c:v>-26.511299999999999</c:v>
                </c:pt>
                <c:pt idx="227">
                  <c:v>-26.76135</c:v>
                </c:pt>
                <c:pt idx="228">
                  <c:v>-27.011400000000002</c:v>
                </c:pt>
                <c:pt idx="229">
                  <c:v>-27.261450000000004</c:v>
                </c:pt>
                <c:pt idx="230">
                  <c:v>-27.511499999999998</c:v>
                </c:pt>
                <c:pt idx="231">
                  <c:v>-27.76155</c:v>
                </c:pt>
                <c:pt idx="232">
                  <c:v>-28.011599999999994</c:v>
                </c:pt>
                <c:pt idx="233">
                  <c:v>-28.261650000000003</c:v>
                </c:pt>
                <c:pt idx="234">
                  <c:v>-28.511700000000005</c:v>
                </c:pt>
                <c:pt idx="235">
                  <c:v>-28.761749999999999</c:v>
                </c:pt>
                <c:pt idx="236">
                  <c:v>-29.011800000000001</c:v>
                </c:pt>
                <c:pt idx="237">
                  <c:v>-29.261849999999995</c:v>
                </c:pt>
                <c:pt idx="238">
                  <c:v>-29.511900000000004</c:v>
                </c:pt>
                <c:pt idx="239">
                  <c:v>-29.761950000000006</c:v>
                </c:pt>
                <c:pt idx="240">
                  <c:v>-30.012</c:v>
                </c:pt>
                <c:pt idx="241">
                  <c:v>-30.262050000000002</c:v>
                </c:pt>
                <c:pt idx="242">
                  <c:v>-30.512099999999997</c:v>
                </c:pt>
                <c:pt idx="243">
                  <c:v>-30.762149999999998</c:v>
                </c:pt>
                <c:pt idx="244">
                  <c:v>-31.012200000000007</c:v>
                </c:pt>
                <c:pt idx="245">
                  <c:v>-31.262250000000002</c:v>
                </c:pt>
                <c:pt idx="246">
                  <c:v>-31.512300000000003</c:v>
                </c:pt>
                <c:pt idx="247">
                  <c:v>-31.762349999999998</c:v>
                </c:pt>
                <c:pt idx="248">
                  <c:v>-32.0124</c:v>
                </c:pt>
                <c:pt idx="249">
                  <c:v>-32.262449999999994</c:v>
                </c:pt>
                <c:pt idx="250">
                  <c:v>-32.512500000000003</c:v>
                </c:pt>
              </c:numCache>
            </c:numRef>
          </c:yVal>
          <c:smooth val="1"/>
        </c:ser>
        <c:ser>
          <c:idx val="7"/>
          <c:order val="6"/>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hx!$M$5:$M$255</c:f>
              <c:numCache>
                <c:formatCode>0.00</c:formatCode>
                <c:ptCount val="251"/>
                <c:pt idx="0">
                  <c:v>40</c:v>
                </c:pt>
                <c:pt idx="1">
                  <c:v>39.749949999999998</c:v>
                </c:pt>
                <c:pt idx="2">
                  <c:v>39.499899999999997</c:v>
                </c:pt>
                <c:pt idx="3">
                  <c:v>39.249850000000002</c:v>
                </c:pt>
                <c:pt idx="4">
                  <c:v>38.9998</c:v>
                </c:pt>
                <c:pt idx="5">
                  <c:v>38.749749999999999</c:v>
                </c:pt>
                <c:pt idx="6">
                  <c:v>38.499699999999997</c:v>
                </c:pt>
                <c:pt idx="7">
                  <c:v>38.249650000000003</c:v>
                </c:pt>
                <c:pt idx="8">
                  <c:v>37.999600000000001</c:v>
                </c:pt>
                <c:pt idx="9">
                  <c:v>37.749549999999999</c:v>
                </c:pt>
                <c:pt idx="10">
                  <c:v>37.499499999999998</c:v>
                </c:pt>
                <c:pt idx="11">
                  <c:v>37.249450000000003</c:v>
                </c:pt>
                <c:pt idx="12">
                  <c:v>36.999400000000001</c:v>
                </c:pt>
                <c:pt idx="13">
                  <c:v>36.74935</c:v>
                </c:pt>
                <c:pt idx="14">
                  <c:v>36.499299999999998</c:v>
                </c:pt>
                <c:pt idx="15">
                  <c:v>36.249250000000004</c:v>
                </c:pt>
                <c:pt idx="16">
                  <c:v>35.999200000000002</c:v>
                </c:pt>
                <c:pt idx="17">
                  <c:v>35.74915</c:v>
                </c:pt>
                <c:pt idx="18">
                  <c:v>35.499099999999999</c:v>
                </c:pt>
                <c:pt idx="19">
                  <c:v>35.249049999999997</c:v>
                </c:pt>
                <c:pt idx="20">
                  <c:v>34.999000000000002</c:v>
                </c:pt>
                <c:pt idx="21">
                  <c:v>34.748950000000001</c:v>
                </c:pt>
                <c:pt idx="22">
                  <c:v>34.498899999999999</c:v>
                </c:pt>
                <c:pt idx="23">
                  <c:v>34.248849999999997</c:v>
                </c:pt>
                <c:pt idx="24">
                  <c:v>33.998800000000003</c:v>
                </c:pt>
                <c:pt idx="25">
                  <c:v>33.748750000000001</c:v>
                </c:pt>
                <c:pt idx="26">
                  <c:v>33.498699999999999</c:v>
                </c:pt>
                <c:pt idx="27">
                  <c:v>33.248649999999998</c:v>
                </c:pt>
                <c:pt idx="28">
                  <c:v>32.998599999999996</c:v>
                </c:pt>
                <c:pt idx="29">
                  <c:v>32.748550000000002</c:v>
                </c:pt>
                <c:pt idx="30">
                  <c:v>32.4985</c:v>
                </c:pt>
                <c:pt idx="31">
                  <c:v>32.248449999999998</c:v>
                </c:pt>
                <c:pt idx="32">
                  <c:v>31.9984</c:v>
                </c:pt>
                <c:pt idx="33">
                  <c:v>31.748350000000002</c:v>
                </c:pt>
                <c:pt idx="34">
                  <c:v>31.4983</c:v>
                </c:pt>
                <c:pt idx="35">
                  <c:v>31.248249999999999</c:v>
                </c:pt>
                <c:pt idx="36">
                  <c:v>30.998200000000001</c:v>
                </c:pt>
                <c:pt idx="37">
                  <c:v>30.748149999999999</c:v>
                </c:pt>
                <c:pt idx="38">
                  <c:v>30.498100000000001</c:v>
                </c:pt>
                <c:pt idx="39">
                  <c:v>30.248049999999999</c:v>
                </c:pt>
                <c:pt idx="40">
                  <c:v>29.997999999999998</c:v>
                </c:pt>
                <c:pt idx="41">
                  <c:v>29.747949999999999</c:v>
                </c:pt>
                <c:pt idx="42">
                  <c:v>29.497900000000001</c:v>
                </c:pt>
                <c:pt idx="43">
                  <c:v>29.24785</c:v>
                </c:pt>
                <c:pt idx="44">
                  <c:v>28.997799999999998</c:v>
                </c:pt>
                <c:pt idx="45">
                  <c:v>28.747750000000003</c:v>
                </c:pt>
                <c:pt idx="46">
                  <c:v>28.497700000000002</c:v>
                </c:pt>
                <c:pt idx="47">
                  <c:v>28.24765</c:v>
                </c:pt>
                <c:pt idx="48">
                  <c:v>27.997599999999998</c:v>
                </c:pt>
                <c:pt idx="49">
                  <c:v>27.74755</c:v>
                </c:pt>
                <c:pt idx="50">
                  <c:v>27.497500000000002</c:v>
                </c:pt>
                <c:pt idx="51">
                  <c:v>27.247450000000001</c:v>
                </c:pt>
                <c:pt idx="52">
                  <c:v>26.997399999999999</c:v>
                </c:pt>
                <c:pt idx="53">
                  <c:v>26.747349999999997</c:v>
                </c:pt>
                <c:pt idx="54">
                  <c:v>26.497299999999999</c:v>
                </c:pt>
                <c:pt idx="55">
                  <c:v>26.247250000000001</c:v>
                </c:pt>
                <c:pt idx="56">
                  <c:v>25.997199999999999</c:v>
                </c:pt>
                <c:pt idx="57">
                  <c:v>25.747149999999998</c:v>
                </c:pt>
                <c:pt idx="58">
                  <c:v>25.497100000000003</c:v>
                </c:pt>
                <c:pt idx="59">
                  <c:v>25.247050000000002</c:v>
                </c:pt>
                <c:pt idx="60">
                  <c:v>24.997</c:v>
                </c:pt>
                <c:pt idx="61">
                  <c:v>24.746949999999998</c:v>
                </c:pt>
                <c:pt idx="62">
                  <c:v>24.4969</c:v>
                </c:pt>
                <c:pt idx="63">
                  <c:v>24.246850000000002</c:v>
                </c:pt>
                <c:pt idx="64">
                  <c:v>23.9968</c:v>
                </c:pt>
                <c:pt idx="65">
                  <c:v>23.746750000000002</c:v>
                </c:pt>
                <c:pt idx="66">
                  <c:v>23.496700000000001</c:v>
                </c:pt>
                <c:pt idx="67">
                  <c:v>23.246649999999999</c:v>
                </c:pt>
                <c:pt idx="68">
                  <c:v>22.996600000000001</c:v>
                </c:pt>
                <c:pt idx="69">
                  <c:v>22.746549999999999</c:v>
                </c:pt>
                <c:pt idx="70">
                  <c:v>22.496500000000001</c:v>
                </c:pt>
                <c:pt idx="71">
                  <c:v>22.246449999999999</c:v>
                </c:pt>
                <c:pt idx="72">
                  <c:v>21.996400000000001</c:v>
                </c:pt>
                <c:pt idx="73">
                  <c:v>21.74635</c:v>
                </c:pt>
                <c:pt idx="74">
                  <c:v>21.496299999999998</c:v>
                </c:pt>
                <c:pt idx="75">
                  <c:v>21.24625</c:v>
                </c:pt>
                <c:pt idx="76">
                  <c:v>20.996200000000002</c:v>
                </c:pt>
                <c:pt idx="77">
                  <c:v>20.74615</c:v>
                </c:pt>
                <c:pt idx="78">
                  <c:v>20.496100000000002</c:v>
                </c:pt>
                <c:pt idx="79">
                  <c:v>20.246049999999997</c:v>
                </c:pt>
                <c:pt idx="80">
                  <c:v>19.995999999999999</c:v>
                </c:pt>
                <c:pt idx="81">
                  <c:v>19.745950000000001</c:v>
                </c:pt>
                <c:pt idx="82">
                  <c:v>19.495899999999999</c:v>
                </c:pt>
                <c:pt idx="83">
                  <c:v>19.245850000000001</c:v>
                </c:pt>
                <c:pt idx="84">
                  <c:v>18.995800000000003</c:v>
                </c:pt>
                <c:pt idx="85">
                  <c:v>18.745749999999997</c:v>
                </c:pt>
                <c:pt idx="86">
                  <c:v>18.495699999999999</c:v>
                </c:pt>
                <c:pt idx="87">
                  <c:v>18.245650000000001</c:v>
                </c:pt>
                <c:pt idx="88">
                  <c:v>17.9956</c:v>
                </c:pt>
                <c:pt idx="89">
                  <c:v>17.745550000000001</c:v>
                </c:pt>
                <c:pt idx="90">
                  <c:v>17.495500000000003</c:v>
                </c:pt>
                <c:pt idx="91">
                  <c:v>17.245449999999998</c:v>
                </c:pt>
                <c:pt idx="92">
                  <c:v>16.9954</c:v>
                </c:pt>
                <c:pt idx="93">
                  <c:v>16.745350000000002</c:v>
                </c:pt>
                <c:pt idx="94">
                  <c:v>16.4953</c:v>
                </c:pt>
                <c:pt idx="95">
                  <c:v>16.245250000000002</c:v>
                </c:pt>
                <c:pt idx="96">
                  <c:v>15.995200000000001</c:v>
                </c:pt>
                <c:pt idx="97">
                  <c:v>15.745149999999999</c:v>
                </c:pt>
                <c:pt idx="98">
                  <c:v>15.495100000000001</c:v>
                </c:pt>
                <c:pt idx="99">
                  <c:v>15.245049999999999</c:v>
                </c:pt>
                <c:pt idx="100">
                  <c:v>14.995000000000001</c:v>
                </c:pt>
                <c:pt idx="101">
                  <c:v>14.744949999999999</c:v>
                </c:pt>
                <c:pt idx="102">
                  <c:v>14.494899999999998</c:v>
                </c:pt>
                <c:pt idx="103">
                  <c:v>14.24485</c:v>
                </c:pt>
                <c:pt idx="104">
                  <c:v>13.994800000000001</c:v>
                </c:pt>
                <c:pt idx="105">
                  <c:v>13.74475</c:v>
                </c:pt>
                <c:pt idx="106">
                  <c:v>13.494699999999998</c:v>
                </c:pt>
                <c:pt idx="107">
                  <c:v>13.24465</c:v>
                </c:pt>
                <c:pt idx="108">
                  <c:v>12.994599999999998</c:v>
                </c:pt>
                <c:pt idx="109">
                  <c:v>12.74455</c:v>
                </c:pt>
                <c:pt idx="110">
                  <c:v>12.494500000000002</c:v>
                </c:pt>
                <c:pt idx="111">
                  <c:v>12.244450000000001</c:v>
                </c:pt>
                <c:pt idx="112">
                  <c:v>11.994399999999999</c:v>
                </c:pt>
                <c:pt idx="113">
                  <c:v>11.744350000000001</c:v>
                </c:pt>
                <c:pt idx="114">
                  <c:v>11.494299999999999</c:v>
                </c:pt>
                <c:pt idx="115">
                  <c:v>11.244250000000001</c:v>
                </c:pt>
                <c:pt idx="116">
                  <c:v>10.994200000000003</c:v>
                </c:pt>
                <c:pt idx="117">
                  <c:v>10.744149999999998</c:v>
                </c:pt>
                <c:pt idx="118">
                  <c:v>10.4941</c:v>
                </c:pt>
                <c:pt idx="119">
                  <c:v>10.244049999999998</c:v>
                </c:pt>
                <c:pt idx="120">
                  <c:v>9.9939999999999998</c:v>
                </c:pt>
                <c:pt idx="121">
                  <c:v>9.7439500000000017</c:v>
                </c:pt>
                <c:pt idx="122">
                  <c:v>9.4938999999999965</c:v>
                </c:pt>
                <c:pt idx="123">
                  <c:v>9.2438499999999983</c:v>
                </c:pt>
                <c:pt idx="124">
                  <c:v>8.9938000000000002</c:v>
                </c:pt>
                <c:pt idx="125">
                  <c:v>8.7437499999999986</c:v>
                </c:pt>
                <c:pt idx="126">
                  <c:v>8.4937000000000005</c:v>
                </c:pt>
                <c:pt idx="127">
                  <c:v>8.2436500000000024</c:v>
                </c:pt>
                <c:pt idx="128">
                  <c:v>7.9936000000000007</c:v>
                </c:pt>
                <c:pt idx="129">
                  <c:v>7.743549999999999</c:v>
                </c:pt>
                <c:pt idx="130">
                  <c:v>7.4935000000000045</c:v>
                </c:pt>
                <c:pt idx="131">
                  <c:v>7.2434499999999957</c:v>
                </c:pt>
                <c:pt idx="132">
                  <c:v>6.9934000000000012</c:v>
                </c:pt>
                <c:pt idx="133">
                  <c:v>6.7433499999999995</c:v>
                </c:pt>
                <c:pt idx="134">
                  <c:v>6.4932999999999979</c:v>
                </c:pt>
                <c:pt idx="135">
                  <c:v>6.2432500000000033</c:v>
                </c:pt>
                <c:pt idx="136">
                  <c:v>5.9932000000000016</c:v>
                </c:pt>
                <c:pt idx="137">
                  <c:v>5.74315</c:v>
                </c:pt>
                <c:pt idx="138">
                  <c:v>5.4930999999999983</c:v>
                </c:pt>
                <c:pt idx="139">
                  <c:v>5.2430500000000038</c:v>
                </c:pt>
                <c:pt idx="140">
                  <c:v>4.9930000000000021</c:v>
                </c:pt>
                <c:pt idx="141">
                  <c:v>4.7429500000000004</c:v>
                </c:pt>
                <c:pt idx="142">
                  <c:v>4.4928999999999988</c:v>
                </c:pt>
                <c:pt idx="143">
                  <c:v>4.2428499999999971</c:v>
                </c:pt>
                <c:pt idx="144">
                  <c:v>3.9928000000000026</c:v>
                </c:pt>
                <c:pt idx="145">
                  <c:v>3.7427500000000009</c:v>
                </c:pt>
                <c:pt idx="146">
                  <c:v>3.4926999999999992</c:v>
                </c:pt>
                <c:pt idx="147">
                  <c:v>3.2426500000000047</c:v>
                </c:pt>
                <c:pt idx="148">
                  <c:v>2.9925999999999959</c:v>
                </c:pt>
                <c:pt idx="149">
                  <c:v>2.7425500000000014</c:v>
                </c:pt>
                <c:pt idx="150">
                  <c:v>2.4924999999999997</c:v>
                </c:pt>
                <c:pt idx="151">
                  <c:v>2.2424499999999981</c:v>
                </c:pt>
                <c:pt idx="152">
                  <c:v>1.9924000000000035</c:v>
                </c:pt>
                <c:pt idx="153">
                  <c:v>1.7423500000000018</c:v>
                </c:pt>
                <c:pt idx="154">
                  <c:v>1.4923000000000002</c:v>
                </c:pt>
                <c:pt idx="155">
                  <c:v>1.2422499999999985</c:v>
                </c:pt>
                <c:pt idx="156">
                  <c:v>0.99220000000000397</c:v>
                </c:pt>
                <c:pt idx="157">
                  <c:v>0.74215000000000231</c:v>
                </c:pt>
                <c:pt idx="158">
                  <c:v>0.49209999999999354</c:v>
                </c:pt>
                <c:pt idx="159">
                  <c:v>0.24204999999999899</c:v>
                </c:pt>
                <c:pt idx="160">
                  <c:v>-8.0000000000026716E-3</c:v>
                </c:pt>
                <c:pt idx="161">
                  <c:v>-0.25804999999999723</c:v>
                </c:pt>
                <c:pt idx="162">
                  <c:v>-0.50809999999999889</c:v>
                </c:pt>
                <c:pt idx="163">
                  <c:v>-0.75814999999999344</c:v>
                </c:pt>
                <c:pt idx="164">
                  <c:v>-1.0082000000000022</c:v>
                </c:pt>
                <c:pt idx="165">
                  <c:v>-1.2582500000000039</c:v>
                </c:pt>
                <c:pt idx="166">
                  <c:v>-1.5082999999999984</c:v>
                </c:pt>
                <c:pt idx="167">
                  <c:v>-1.7583500000000001</c:v>
                </c:pt>
                <c:pt idx="168">
                  <c:v>-2.0083999999999946</c:v>
                </c:pt>
                <c:pt idx="169">
                  <c:v>-2.2584499999999963</c:v>
                </c:pt>
                <c:pt idx="170">
                  <c:v>-2.5085000000000051</c:v>
                </c:pt>
                <c:pt idx="171">
                  <c:v>-2.7585499999999996</c:v>
                </c:pt>
                <c:pt idx="172">
                  <c:v>-3.0086000000000013</c:v>
                </c:pt>
                <c:pt idx="173">
                  <c:v>-3.2586499999999958</c:v>
                </c:pt>
                <c:pt idx="174">
                  <c:v>-3.5086999999999975</c:v>
                </c:pt>
                <c:pt idx="175">
                  <c:v>-3.7587500000000063</c:v>
                </c:pt>
                <c:pt idx="176">
                  <c:v>-4.0088000000000008</c:v>
                </c:pt>
                <c:pt idx="177">
                  <c:v>-4.2588500000000025</c:v>
                </c:pt>
                <c:pt idx="178">
                  <c:v>-4.508899999999997</c:v>
                </c:pt>
                <c:pt idx="179">
                  <c:v>-4.7589499999999987</c:v>
                </c:pt>
                <c:pt idx="180">
                  <c:v>-5.0089999999999932</c:v>
                </c:pt>
                <c:pt idx="181">
                  <c:v>-5.259050000000002</c:v>
                </c:pt>
                <c:pt idx="182">
                  <c:v>-5.5091000000000037</c:v>
                </c:pt>
                <c:pt idx="183">
                  <c:v>-5.7591499999999982</c:v>
                </c:pt>
                <c:pt idx="184">
                  <c:v>-6.0091999999999999</c:v>
                </c:pt>
                <c:pt idx="185">
                  <c:v>-6.2592499999999944</c:v>
                </c:pt>
                <c:pt idx="186">
                  <c:v>-6.5092999999999961</c:v>
                </c:pt>
                <c:pt idx="187">
                  <c:v>-6.7593500000000049</c:v>
                </c:pt>
                <c:pt idx="188">
                  <c:v>-7.0093999999999994</c:v>
                </c:pt>
                <c:pt idx="189">
                  <c:v>-7.2594500000000011</c:v>
                </c:pt>
                <c:pt idx="190">
                  <c:v>-7.5094999999999956</c:v>
                </c:pt>
                <c:pt idx="191">
                  <c:v>-7.7595499999999973</c:v>
                </c:pt>
                <c:pt idx="192">
                  <c:v>-8.0095999999999989</c:v>
                </c:pt>
                <c:pt idx="193">
                  <c:v>-8.2596500000000006</c:v>
                </c:pt>
                <c:pt idx="194">
                  <c:v>-8.5097000000000023</c:v>
                </c:pt>
                <c:pt idx="195">
                  <c:v>-8.7597499999999968</c:v>
                </c:pt>
                <c:pt idx="196">
                  <c:v>-9.0097999999999985</c:v>
                </c:pt>
                <c:pt idx="197">
                  <c:v>-9.2598500000000001</c:v>
                </c:pt>
                <c:pt idx="198">
                  <c:v>-9.5099000000000018</c:v>
                </c:pt>
                <c:pt idx="199">
                  <c:v>-9.7599500000000035</c:v>
                </c:pt>
                <c:pt idx="200">
                  <c:v>-10.009999999999998</c:v>
                </c:pt>
                <c:pt idx="201">
                  <c:v>-10.26005</c:v>
                </c:pt>
                <c:pt idx="202">
                  <c:v>-10.510100000000001</c:v>
                </c:pt>
                <c:pt idx="203">
                  <c:v>-10.760149999999996</c:v>
                </c:pt>
                <c:pt idx="204">
                  <c:v>-11.010200000000005</c:v>
                </c:pt>
                <c:pt idx="205">
                  <c:v>-11.260249999999999</c:v>
                </c:pt>
                <c:pt idx="206">
                  <c:v>-11.510300000000001</c:v>
                </c:pt>
                <c:pt idx="207">
                  <c:v>-11.760350000000003</c:v>
                </c:pt>
                <c:pt idx="208">
                  <c:v>-12.010399999999997</c:v>
                </c:pt>
                <c:pt idx="209">
                  <c:v>-12.260449999999999</c:v>
                </c:pt>
                <c:pt idx="210">
                  <c:v>-12.5105</c:v>
                </c:pt>
                <c:pt idx="211">
                  <c:v>-12.760550000000002</c:v>
                </c:pt>
                <c:pt idx="212">
                  <c:v>-13.010600000000004</c:v>
                </c:pt>
                <c:pt idx="213">
                  <c:v>-13.260649999999998</c:v>
                </c:pt>
                <c:pt idx="214">
                  <c:v>-13.5107</c:v>
                </c:pt>
                <c:pt idx="215">
                  <c:v>-13.760749999999994</c:v>
                </c:pt>
                <c:pt idx="216">
                  <c:v>-14.010800000000003</c:v>
                </c:pt>
                <c:pt idx="217">
                  <c:v>-14.260849999999998</c:v>
                </c:pt>
                <c:pt idx="218">
                  <c:v>-14.510899999999999</c:v>
                </c:pt>
                <c:pt idx="219">
                  <c:v>-14.760950000000001</c:v>
                </c:pt>
                <c:pt idx="220">
                  <c:v>-15.010999999999996</c:v>
                </c:pt>
                <c:pt idx="221">
                  <c:v>-15.261050000000004</c:v>
                </c:pt>
                <c:pt idx="222">
                  <c:v>-15.511099999999999</c:v>
                </c:pt>
                <c:pt idx="223">
                  <c:v>-15.761150000000001</c:v>
                </c:pt>
                <c:pt idx="224">
                  <c:v>-16.011200000000002</c:v>
                </c:pt>
                <c:pt idx="225">
                  <c:v>-16.261249999999997</c:v>
                </c:pt>
                <c:pt idx="226">
                  <c:v>-16.511299999999999</c:v>
                </c:pt>
                <c:pt idx="227">
                  <c:v>-16.76135</c:v>
                </c:pt>
                <c:pt idx="228">
                  <c:v>-17.011400000000002</c:v>
                </c:pt>
                <c:pt idx="229">
                  <c:v>-17.261450000000004</c:v>
                </c:pt>
                <c:pt idx="230">
                  <c:v>-17.511499999999998</c:v>
                </c:pt>
                <c:pt idx="231">
                  <c:v>-17.76155</c:v>
                </c:pt>
                <c:pt idx="232">
                  <c:v>-18.011599999999994</c:v>
                </c:pt>
                <c:pt idx="233">
                  <c:v>-18.261650000000003</c:v>
                </c:pt>
                <c:pt idx="234">
                  <c:v>-18.511700000000005</c:v>
                </c:pt>
                <c:pt idx="235">
                  <c:v>-18.761749999999999</c:v>
                </c:pt>
                <c:pt idx="236">
                  <c:v>-19.011800000000001</c:v>
                </c:pt>
                <c:pt idx="237">
                  <c:v>-19.261849999999995</c:v>
                </c:pt>
                <c:pt idx="238">
                  <c:v>-19.511900000000004</c:v>
                </c:pt>
                <c:pt idx="239">
                  <c:v>-19.761950000000006</c:v>
                </c:pt>
                <c:pt idx="240">
                  <c:v>-20.012</c:v>
                </c:pt>
                <c:pt idx="241">
                  <c:v>-20.262050000000002</c:v>
                </c:pt>
                <c:pt idx="242">
                  <c:v>-20.512099999999997</c:v>
                </c:pt>
                <c:pt idx="243">
                  <c:v>-20.762149999999998</c:v>
                </c:pt>
                <c:pt idx="244">
                  <c:v>-21.012200000000007</c:v>
                </c:pt>
                <c:pt idx="245">
                  <c:v>-21.262250000000002</c:v>
                </c:pt>
                <c:pt idx="246">
                  <c:v>-21.512300000000003</c:v>
                </c:pt>
                <c:pt idx="247">
                  <c:v>-21.762349999999998</c:v>
                </c:pt>
                <c:pt idx="248">
                  <c:v>-22.0124</c:v>
                </c:pt>
                <c:pt idx="249">
                  <c:v>-22.262449999999994</c:v>
                </c:pt>
                <c:pt idx="250">
                  <c:v>-22.512500000000003</c:v>
                </c:pt>
              </c:numCache>
            </c:numRef>
          </c:yVal>
          <c:smooth val="1"/>
        </c:ser>
        <c:ser>
          <c:idx val="8"/>
          <c:order val="7"/>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hx!$N$5:$N$255</c:f>
              <c:numCache>
                <c:formatCode>0.00</c:formatCode>
                <c:ptCount val="251"/>
                <c:pt idx="0">
                  <c:v>50</c:v>
                </c:pt>
                <c:pt idx="1">
                  <c:v>49.749949999999998</c:v>
                </c:pt>
                <c:pt idx="2">
                  <c:v>49.499899999999997</c:v>
                </c:pt>
                <c:pt idx="3">
                  <c:v>49.249850000000002</c:v>
                </c:pt>
                <c:pt idx="4">
                  <c:v>48.9998</c:v>
                </c:pt>
                <c:pt idx="5">
                  <c:v>48.749749999999999</c:v>
                </c:pt>
                <c:pt idx="6">
                  <c:v>48.499699999999997</c:v>
                </c:pt>
                <c:pt idx="7">
                  <c:v>48.249650000000003</c:v>
                </c:pt>
                <c:pt idx="8">
                  <c:v>47.999600000000001</c:v>
                </c:pt>
                <c:pt idx="9">
                  <c:v>47.749549999999999</c:v>
                </c:pt>
                <c:pt idx="10">
                  <c:v>47.499499999999998</c:v>
                </c:pt>
                <c:pt idx="11">
                  <c:v>47.249450000000003</c:v>
                </c:pt>
                <c:pt idx="12">
                  <c:v>46.999400000000001</c:v>
                </c:pt>
                <c:pt idx="13">
                  <c:v>46.74935</c:v>
                </c:pt>
                <c:pt idx="14">
                  <c:v>46.499299999999998</c:v>
                </c:pt>
                <c:pt idx="15">
                  <c:v>46.249250000000004</c:v>
                </c:pt>
                <c:pt idx="16">
                  <c:v>45.999200000000002</c:v>
                </c:pt>
                <c:pt idx="17">
                  <c:v>45.74915</c:v>
                </c:pt>
                <c:pt idx="18">
                  <c:v>45.499099999999999</c:v>
                </c:pt>
                <c:pt idx="19">
                  <c:v>45.249049999999997</c:v>
                </c:pt>
                <c:pt idx="20">
                  <c:v>44.999000000000002</c:v>
                </c:pt>
                <c:pt idx="21">
                  <c:v>44.748950000000001</c:v>
                </c:pt>
                <c:pt idx="22">
                  <c:v>44.498899999999999</c:v>
                </c:pt>
                <c:pt idx="23">
                  <c:v>44.248849999999997</c:v>
                </c:pt>
                <c:pt idx="24">
                  <c:v>43.998800000000003</c:v>
                </c:pt>
                <c:pt idx="25">
                  <c:v>43.748750000000001</c:v>
                </c:pt>
                <c:pt idx="26">
                  <c:v>43.498699999999999</c:v>
                </c:pt>
                <c:pt idx="27">
                  <c:v>43.248649999999998</c:v>
                </c:pt>
                <c:pt idx="28">
                  <c:v>42.998599999999996</c:v>
                </c:pt>
                <c:pt idx="29">
                  <c:v>42.748550000000002</c:v>
                </c:pt>
                <c:pt idx="30">
                  <c:v>42.4985</c:v>
                </c:pt>
                <c:pt idx="31">
                  <c:v>42.248449999999998</c:v>
                </c:pt>
                <c:pt idx="32">
                  <c:v>41.998400000000004</c:v>
                </c:pt>
                <c:pt idx="33">
                  <c:v>41.748350000000002</c:v>
                </c:pt>
                <c:pt idx="34">
                  <c:v>41.4983</c:v>
                </c:pt>
                <c:pt idx="35">
                  <c:v>41.248249999999999</c:v>
                </c:pt>
                <c:pt idx="36">
                  <c:v>40.998199999999997</c:v>
                </c:pt>
                <c:pt idx="37">
                  <c:v>40.748149999999995</c:v>
                </c:pt>
                <c:pt idx="38">
                  <c:v>40.498100000000001</c:v>
                </c:pt>
                <c:pt idx="39">
                  <c:v>40.248049999999999</c:v>
                </c:pt>
                <c:pt idx="40">
                  <c:v>39.997999999999998</c:v>
                </c:pt>
                <c:pt idx="41">
                  <c:v>39.747950000000003</c:v>
                </c:pt>
                <c:pt idx="42">
                  <c:v>39.497900000000001</c:v>
                </c:pt>
                <c:pt idx="43">
                  <c:v>39.24785</c:v>
                </c:pt>
                <c:pt idx="44">
                  <c:v>38.997799999999998</c:v>
                </c:pt>
                <c:pt idx="45">
                  <c:v>38.747750000000003</c:v>
                </c:pt>
                <c:pt idx="46">
                  <c:v>38.497700000000002</c:v>
                </c:pt>
                <c:pt idx="47">
                  <c:v>38.24765</c:v>
                </c:pt>
                <c:pt idx="48">
                  <c:v>37.997599999999998</c:v>
                </c:pt>
                <c:pt idx="49">
                  <c:v>37.747550000000004</c:v>
                </c:pt>
                <c:pt idx="50">
                  <c:v>37.497500000000002</c:v>
                </c:pt>
                <c:pt idx="51">
                  <c:v>37.247450000000001</c:v>
                </c:pt>
                <c:pt idx="52">
                  <c:v>36.997399999999999</c:v>
                </c:pt>
                <c:pt idx="53">
                  <c:v>36.747349999999997</c:v>
                </c:pt>
                <c:pt idx="54">
                  <c:v>36.497299999999996</c:v>
                </c:pt>
                <c:pt idx="55">
                  <c:v>36.247250000000001</c:v>
                </c:pt>
                <c:pt idx="56">
                  <c:v>35.997199999999999</c:v>
                </c:pt>
                <c:pt idx="57">
                  <c:v>35.747149999999998</c:v>
                </c:pt>
                <c:pt idx="58">
                  <c:v>35.497100000000003</c:v>
                </c:pt>
                <c:pt idx="59">
                  <c:v>35.247050000000002</c:v>
                </c:pt>
                <c:pt idx="60">
                  <c:v>34.997</c:v>
                </c:pt>
                <c:pt idx="61">
                  <c:v>34.746949999999998</c:v>
                </c:pt>
                <c:pt idx="62">
                  <c:v>34.496899999999997</c:v>
                </c:pt>
                <c:pt idx="63">
                  <c:v>34.246850000000002</c:v>
                </c:pt>
                <c:pt idx="64">
                  <c:v>33.9968</c:v>
                </c:pt>
                <c:pt idx="65">
                  <c:v>33.746750000000006</c:v>
                </c:pt>
                <c:pt idx="66">
                  <c:v>33.496700000000004</c:v>
                </c:pt>
                <c:pt idx="67">
                  <c:v>33.246650000000002</c:v>
                </c:pt>
                <c:pt idx="68">
                  <c:v>32.996600000000001</c:v>
                </c:pt>
                <c:pt idx="69">
                  <c:v>32.746549999999999</c:v>
                </c:pt>
                <c:pt idx="70">
                  <c:v>32.496499999999997</c:v>
                </c:pt>
                <c:pt idx="71">
                  <c:v>32.246449999999996</c:v>
                </c:pt>
                <c:pt idx="72">
                  <c:v>31.996400000000001</c:v>
                </c:pt>
                <c:pt idx="73">
                  <c:v>31.74635</c:v>
                </c:pt>
                <c:pt idx="74">
                  <c:v>31.496299999999998</c:v>
                </c:pt>
                <c:pt idx="75">
                  <c:v>31.24625</c:v>
                </c:pt>
                <c:pt idx="76">
                  <c:v>30.996200000000002</c:v>
                </c:pt>
                <c:pt idx="77">
                  <c:v>30.74615</c:v>
                </c:pt>
                <c:pt idx="78">
                  <c:v>30.496100000000002</c:v>
                </c:pt>
                <c:pt idx="79">
                  <c:v>30.246049999999997</c:v>
                </c:pt>
                <c:pt idx="80">
                  <c:v>29.995999999999999</c:v>
                </c:pt>
                <c:pt idx="81">
                  <c:v>29.745950000000001</c:v>
                </c:pt>
                <c:pt idx="82">
                  <c:v>29.495899999999999</c:v>
                </c:pt>
                <c:pt idx="83">
                  <c:v>29.245850000000001</c:v>
                </c:pt>
                <c:pt idx="84">
                  <c:v>28.995800000000003</c:v>
                </c:pt>
                <c:pt idx="85">
                  <c:v>28.745749999999997</c:v>
                </c:pt>
                <c:pt idx="86">
                  <c:v>28.495699999999999</c:v>
                </c:pt>
                <c:pt idx="87">
                  <c:v>28.245650000000001</c:v>
                </c:pt>
                <c:pt idx="88">
                  <c:v>27.9956</c:v>
                </c:pt>
                <c:pt idx="89">
                  <c:v>27.745550000000001</c:v>
                </c:pt>
                <c:pt idx="90">
                  <c:v>27.495500000000003</c:v>
                </c:pt>
                <c:pt idx="91">
                  <c:v>27.245449999999998</c:v>
                </c:pt>
                <c:pt idx="92">
                  <c:v>26.9954</c:v>
                </c:pt>
                <c:pt idx="93">
                  <c:v>26.745350000000002</c:v>
                </c:pt>
                <c:pt idx="94">
                  <c:v>26.4953</c:v>
                </c:pt>
                <c:pt idx="95">
                  <c:v>26.245250000000002</c:v>
                </c:pt>
                <c:pt idx="96">
                  <c:v>25.995200000000001</c:v>
                </c:pt>
                <c:pt idx="97">
                  <c:v>25.745149999999999</c:v>
                </c:pt>
                <c:pt idx="98">
                  <c:v>25.495100000000001</c:v>
                </c:pt>
                <c:pt idx="99">
                  <c:v>25.245049999999999</c:v>
                </c:pt>
                <c:pt idx="100">
                  <c:v>24.995000000000001</c:v>
                </c:pt>
                <c:pt idx="101">
                  <c:v>24.744949999999999</c:v>
                </c:pt>
                <c:pt idx="102">
                  <c:v>24.494899999999998</c:v>
                </c:pt>
                <c:pt idx="103">
                  <c:v>24.24485</c:v>
                </c:pt>
                <c:pt idx="104">
                  <c:v>23.994800000000001</c:v>
                </c:pt>
                <c:pt idx="105">
                  <c:v>23.74475</c:v>
                </c:pt>
                <c:pt idx="106">
                  <c:v>23.494699999999998</c:v>
                </c:pt>
                <c:pt idx="107">
                  <c:v>23.24465</c:v>
                </c:pt>
                <c:pt idx="108">
                  <c:v>22.994599999999998</c:v>
                </c:pt>
                <c:pt idx="109">
                  <c:v>22.74455</c:v>
                </c:pt>
                <c:pt idx="110">
                  <c:v>22.494500000000002</c:v>
                </c:pt>
                <c:pt idx="111">
                  <c:v>22.244450000000001</c:v>
                </c:pt>
                <c:pt idx="112">
                  <c:v>21.994399999999999</c:v>
                </c:pt>
                <c:pt idx="113">
                  <c:v>21.744350000000001</c:v>
                </c:pt>
                <c:pt idx="114">
                  <c:v>21.494299999999999</c:v>
                </c:pt>
                <c:pt idx="115">
                  <c:v>21.244250000000001</c:v>
                </c:pt>
                <c:pt idx="116">
                  <c:v>20.994200000000003</c:v>
                </c:pt>
                <c:pt idx="117">
                  <c:v>20.744149999999998</c:v>
                </c:pt>
                <c:pt idx="118">
                  <c:v>20.4941</c:v>
                </c:pt>
                <c:pt idx="119">
                  <c:v>20.244049999999998</c:v>
                </c:pt>
                <c:pt idx="120">
                  <c:v>19.994</c:v>
                </c:pt>
                <c:pt idx="121">
                  <c:v>19.743950000000002</c:v>
                </c:pt>
                <c:pt idx="122">
                  <c:v>19.493899999999996</c:v>
                </c:pt>
                <c:pt idx="123">
                  <c:v>19.243849999999998</c:v>
                </c:pt>
                <c:pt idx="124">
                  <c:v>18.9938</c:v>
                </c:pt>
                <c:pt idx="125">
                  <c:v>18.743749999999999</c:v>
                </c:pt>
                <c:pt idx="126">
                  <c:v>18.4937</c:v>
                </c:pt>
                <c:pt idx="127">
                  <c:v>18.243650000000002</c:v>
                </c:pt>
                <c:pt idx="128">
                  <c:v>17.993600000000001</c:v>
                </c:pt>
                <c:pt idx="129">
                  <c:v>17.743549999999999</c:v>
                </c:pt>
                <c:pt idx="130">
                  <c:v>17.493500000000004</c:v>
                </c:pt>
                <c:pt idx="131">
                  <c:v>17.243449999999996</c:v>
                </c:pt>
                <c:pt idx="132">
                  <c:v>16.993400000000001</c:v>
                </c:pt>
                <c:pt idx="133">
                  <c:v>16.74335</c:v>
                </c:pt>
                <c:pt idx="134">
                  <c:v>16.493299999999998</c:v>
                </c:pt>
                <c:pt idx="135">
                  <c:v>16.243250000000003</c:v>
                </c:pt>
                <c:pt idx="136">
                  <c:v>15.993200000000002</c:v>
                </c:pt>
                <c:pt idx="137">
                  <c:v>15.74315</c:v>
                </c:pt>
                <c:pt idx="138">
                  <c:v>15.493099999999998</c:v>
                </c:pt>
                <c:pt idx="139">
                  <c:v>15.243050000000004</c:v>
                </c:pt>
                <c:pt idx="140">
                  <c:v>14.993000000000002</c:v>
                </c:pt>
                <c:pt idx="141">
                  <c:v>14.74295</c:v>
                </c:pt>
                <c:pt idx="142">
                  <c:v>14.492899999999999</c:v>
                </c:pt>
                <c:pt idx="143">
                  <c:v>14.242849999999997</c:v>
                </c:pt>
                <c:pt idx="144">
                  <c:v>13.992800000000003</c:v>
                </c:pt>
                <c:pt idx="145">
                  <c:v>13.742750000000001</c:v>
                </c:pt>
                <c:pt idx="146">
                  <c:v>13.492699999999999</c:v>
                </c:pt>
                <c:pt idx="147">
                  <c:v>13.242650000000005</c:v>
                </c:pt>
                <c:pt idx="148">
                  <c:v>12.992599999999996</c:v>
                </c:pt>
                <c:pt idx="149">
                  <c:v>12.742550000000001</c:v>
                </c:pt>
                <c:pt idx="150">
                  <c:v>12.4925</c:v>
                </c:pt>
                <c:pt idx="151">
                  <c:v>12.242449999999998</c:v>
                </c:pt>
                <c:pt idx="152">
                  <c:v>11.992400000000004</c:v>
                </c:pt>
                <c:pt idx="153">
                  <c:v>11.742350000000002</c:v>
                </c:pt>
                <c:pt idx="154">
                  <c:v>11.4923</c:v>
                </c:pt>
                <c:pt idx="155">
                  <c:v>11.242249999999999</c:v>
                </c:pt>
                <c:pt idx="156">
                  <c:v>10.992200000000004</c:v>
                </c:pt>
                <c:pt idx="157">
                  <c:v>10.742150000000002</c:v>
                </c:pt>
                <c:pt idx="158">
                  <c:v>10.492099999999994</c:v>
                </c:pt>
                <c:pt idx="159">
                  <c:v>10.242049999999999</c:v>
                </c:pt>
                <c:pt idx="160">
                  <c:v>9.9919999999999973</c:v>
                </c:pt>
                <c:pt idx="161">
                  <c:v>9.7419500000000028</c:v>
                </c:pt>
                <c:pt idx="162">
                  <c:v>9.4919000000000011</c:v>
                </c:pt>
                <c:pt idx="163">
                  <c:v>9.2418500000000066</c:v>
                </c:pt>
                <c:pt idx="164">
                  <c:v>8.9917999999999978</c:v>
                </c:pt>
                <c:pt idx="165">
                  <c:v>8.7417499999999961</c:v>
                </c:pt>
                <c:pt idx="166">
                  <c:v>8.4917000000000016</c:v>
                </c:pt>
                <c:pt idx="167">
                  <c:v>8.2416499999999999</c:v>
                </c:pt>
                <c:pt idx="168">
                  <c:v>7.9916000000000054</c:v>
                </c:pt>
                <c:pt idx="169">
                  <c:v>7.7415500000000037</c:v>
                </c:pt>
                <c:pt idx="170">
                  <c:v>7.4914999999999949</c:v>
                </c:pt>
                <c:pt idx="171">
                  <c:v>7.2414500000000004</c:v>
                </c:pt>
                <c:pt idx="172">
                  <c:v>6.9913999999999987</c:v>
                </c:pt>
                <c:pt idx="173">
                  <c:v>6.7413500000000042</c:v>
                </c:pt>
                <c:pt idx="174">
                  <c:v>6.4913000000000025</c:v>
                </c:pt>
                <c:pt idx="175">
                  <c:v>6.2412499999999937</c:v>
                </c:pt>
                <c:pt idx="176">
                  <c:v>5.9911999999999992</c:v>
                </c:pt>
                <c:pt idx="177">
                  <c:v>5.7411499999999975</c:v>
                </c:pt>
                <c:pt idx="178">
                  <c:v>5.491100000000003</c:v>
                </c:pt>
                <c:pt idx="179">
                  <c:v>5.2410500000000013</c:v>
                </c:pt>
                <c:pt idx="180">
                  <c:v>4.9910000000000068</c:v>
                </c:pt>
                <c:pt idx="181">
                  <c:v>4.740949999999998</c:v>
                </c:pt>
                <c:pt idx="182">
                  <c:v>4.4908999999999963</c:v>
                </c:pt>
                <c:pt idx="183">
                  <c:v>4.2408500000000018</c:v>
                </c:pt>
                <c:pt idx="184">
                  <c:v>3.9908000000000001</c:v>
                </c:pt>
                <c:pt idx="185">
                  <c:v>3.7407500000000056</c:v>
                </c:pt>
                <c:pt idx="186">
                  <c:v>3.4907000000000039</c:v>
                </c:pt>
                <c:pt idx="187">
                  <c:v>3.2406499999999951</c:v>
                </c:pt>
                <c:pt idx="188">
                  <c:v>2.9906000000000006</c:v>
                </c:pt>
                <c:pt idx="189">
                  <c:v>2.7405499999999989</c:v>
                </c:pt>
                <c:pt idx="190">
                  <c:v>2.4905000000000044</c:v>
                </c:pt>
                <c:pt idx="191">
                  <c:v>2.2404500000000027</c:v>
                </c:pt>
                <c:pt idx="192">
                  <c:v>1.9904000000000011</c:v>
                </c:pt>
                <c:pt idx="193">
                  <c:v>1.7403499999999994</c:v>
                </c:pt>
                <c:pt idx="194">
                  <c:v>1.4902999999999977</c:v>
                </c:pt>
                <c:pt idx="195">
                  <c:v>1.2402500000000032</c:v>
                </c:pt>
                <c:pt idx="196">
                  <c:v>0.99020000000000152</c:v>
                </c:pt>
                <c:pt idx="197">
                  <c:v>0.74014999999999986</c:v>
                </c:pt>
                <c:pt idx="198">
                  <c:v>0.4900999999999982</c:v>
                </c:pt>
                <c:pt idx="199">
                  <c:v>0.24004999999999654</c:v>
                </c:pt>
                <c:pt idx="200">
                  <c:v>-9.9999999999980105E-3</c:v>
                </c:pt>
                <c:pt idx="201">
                  <c:v>-0.26004999999999967</c:v>
                </c:pt>
                <c:pt idx="202">
                  <c:v>-0.51010000000000133</c:v>
                </c:pt>
                <c:pt idx="203">
                  <c:v>-0.76014999999999588</c:v>
                </c:pt>
                <c:pt idx="204">
                  <c:v>-1.0102000000000046</c:v>
                </c:pt>
                <c:pt idx="205">
                  <c:v>-1.2602499999999992</c:v>
                </c:pt>
                <c:pt idx="206">
                  <c:v>-1.5103000000000009</c:v>
                </c:pt>
                <c:pt idx="207">
                  <c:v>-1.7603500000000025</c:v>
                </c:pt>
                <c:pt idx="208">
                  <c:v>-2.0103999999999971</c:v>
                </c:pt>
                <c:pt idx="209">
                  <c:v>-2.2604499999999987</c:v>
                </c:pt>
                <c:pt idx="210">
                  <c:v>-2.5105000000000004</c:v>
                </c:pt>
                <c:pt idx="211">
                  <c:v>-2.7605500000000021</c:v>
                </c:pt>
                <c:pt idx="212">
                  <c:v>-3.0106000000000037</c:v>
                </c:pt>
                <c:pt idx="213">
                  <c:v>-3.2606499999999983</c:v>
                </c:pt>
                <c:pt idx="214">
                  <c:v>-3.5106999999999999</c:v>
                </c:pt>
                <c:pt idx="215">
                  <c:v>-3.7607499999999945</c:v>
                </c:pt>
                <c:pt idx="216">
                  <c:v>-4.0108000000000033</c:v>
                </c:pt>
                <c:pt idx="217">
                  <c:v>-4.2608499999999978</c:v>
                </c:pt>
                <c:pt idx="218">
                  <c:v>-4.5108999999999995</c:v>
                </c:pt>
                <c:pt idx="219">
                  <c:v>-4.7609500000000011</c:v>
                </c:pt>
                <c:pt idx="220">
                  <c:v>-5.0109999999999957</c:v>
                </c:pt>
                <c:pt idx="221">
                  <c:v>-5.2610500000000044</c:v>
                </c:pt>
                <c:pt idx="222">
                  <c:v>-5.511099999999999</c:v>
                </c:pt>
                <c:pt idx="223">
                  <c:v>-5.7611500000000007</c:v>
                </c:pt>
                <c:pt idx="224">
                  <c:v>-6.0112000000000023</c:v>
                </c:pt>
                <c:pt idx="225">
                  <c:v>-6.2612499999999969</c:v>
                </c:pt>
                <c:pt idx="226">
                  <c:v>-6.5112999999999985</c:v>
                </c:pt>
                <c:pt idx="227">
                  <c:v>-6.7613500000000002</c:v>
                </c:pt>
                <c:pt idx="228">
                  <c:v>-7.0114000000000019</c:v>
                </c:pt>
                <c:pt idx="229">
                  <c:v>-7.2614500000000035</c:v>
                </c:pt>
                <c:pt idx="230">
                  <c:v>-7.5114999999999981</c:v>
                </c:pt>
                <c:pt idx="231">
                  <c:v>-7.7615499999999997</c:v>
                </c:pt>
                <c:pt idx="232">
                  <c:v>-8.0115999999999943</c:v>
                </c:pt>
                <c:pt idx="233">
                  <c:v>-8.261650000000003</c:v>
                </c:pt>
                <c:pt idx="234">
                  <c:v>-8.5117000000000047</c:v>
                </c:pt>
                <c:pt idx="235">
                  <c:v>-8.7617499999999993</c:v>
                </c:pt>
                <c:pt idx="236">
                  <c:v>-9.0118000000000009</c:v>
                </c:pt>
                <c:pt idx="237">
                  <c:v>-9.2618499999999955</c:v>
                </c:pt>
                <c:pt idx="238">
                  <c:v>-9.5119000000000042</c:v>
                </c:pt>
                <c:pt idx="239">
                  <c:v>-9.7619500000000059</c:v>
                </c:pt>
                <c:pt idx="240">
                  <c:v>-10.012</c:v>
                </c:pt>
                <c:pt idx="241">
                  <c:v>-10.262050000000002</c:v>
                </c:pt>
                <c:pt idx="242">
                  <c:v>-10.512099999999997</c:v>
                </c:pt>
                <c:pt idx="243">
                  <c:v>-10.762149999999998</c:v>
                </c:pt>
                <c:pt idx="244">
                  <c:v>-11.012200000000007</c:v>
                </c:pt>
                <c:pt idx="245">
                  <c:v>-11.262250000000002</c:v>
                </c:pt>
                <c:pt idx="246">
                  <c:v>-11.512300000000003</c:v>
                </c:pt>
                <c:pt idx="247">
                  <c:v>-11.762349999999998</c:v>
                </c:pt>
                <c:pt idx="248">
                  <c:v>-12.0124</c:v>
                </c:pt>
                <c:pt idx="249">
                  <c:v>-12.262449999999994</c:v>
                </c:pt>
                <c:pt idx="250">
                  <c:v>-12.512500000000003</c:v>
                </c:pt>
              </c:numCache>
            </c:numRef>
          </c:yVal>
          <c:smooth val="1"/>
        </c:ser>
        <c:ser>
          <c:idx val="9"/>
          <c:order val="8"/>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hx!$O$5:$O$255</c:f>
              <c:numCache>
                <c:formatCode>0.00</c:formatCode>
                <c:ptCount val="251"/>
                <c:pt idx="0">
                  <c:v>60</c:v>
                </c:pt>
                <c:pt idx="1">
                  <c:v>59.749949999999998</c:v>
                </c:pt>
                <c:pt idx="2">
                  <c:v>59.499899999999997</c:v>
                </c:pt>
                <c:pt idx="3">
                  <c:v>59.249850000000002</c:v>
                </c:pt>
                <c:pt idx="4">
                  <c:v>58.9998</c:v>
                </c:pt>
                <c:pt idx="5">
                  <c:v>58.749749999999999</c:v>
                </c:pt>
                <c:pt idx="6">
                  <c:v>58.499699999999997</c:v>
                </c:pt>
                <c:pt idx="7">
                  <c:v>58.249650000000003</c:v>
                </c:pt>
                <c:pt idx="8">
                  <c:v>57.999600000000001</c:v>
                </c:pt>
                <c:pt idx="9">
                  <c:v>57.749549999999999</c:v>
                </c:pt>
                <c:pt idx="10">
                  <c:v>57.499499999999998</c:v>
                </c:pt>
                <c:pt idx="11">
                  <c:v>57.249450000000003</c:v>
                </c:pt>
                <c:pt idx="12">
                  <c:v>56.999400000000001</c:v>
                </c:pt>
                <c:pt idx="13">
                  <c:v>56.74935</c:v>
                </c:pt>
                <c:pt idx="14">
                  <c:v>56.499299999999998</c:v>
                </c:pt>
                <c:pt idx="15">
                  <c:v>56.249250000000004</c:v>
                </c:pt>
                <c:pt idx="16">
                  <c:v>55.999200000000002</c:v>
                </c:pt>
                <c:pt idx="17">
                  <c:v>55.74915</c:v>
                </c:pt>
                <c:pt idx="18">
                  <c:v>55.499099999999999</c:v>
                </c:pt>
                <c:pt idx="19">
                  <c:v>55.249049999999997</c:v>
                </c:pt>
                <c:pt idx="20">
                  <c:v>54.999000000000002</c:v>
                </c:pt>
                <c:pt idx="21">
                  <c:v>54.748950000000001</c:v>
                </c:pt>
                <c:pt idx="22">
                  <c:v>54.498899999999999</c:v>
                </c:pt>
                <c:pt idx="23">
                  <c:v>54.248849999999997</c:v>
                </c:pt>
                <c:pt idx="24">
                  <c:v>53.998800000000003</c:v>
                </c:pt>
                <c:pt idx="25">
                  <c:v>53.748750000000001</c:v>
                </c:pt>
                <c:pt idx="26">
                  <c:v>53.498699999999999</c:v>
                </c:pt>
                <c:pt idx="27">
                  <c:v>53.248649999999998</c:v>
                </c:pt>
                <c:pt idx="28">
                  <c:v>52.998599999999996</c:v>
                </c:pt>
                <c:pt idx="29">
                  <c:v>52.748550000000002</c:v>
                </c:pt>
                <c:pt idx="30">
                  <c:v>52.4985</c:v>
                </c:pt>
                <c:pt idx="31">
                  <c:v>52.248449999999998</c:v>
                </c:pt>
                <c:pt idx="32">
                  <c:v>51.998400000000004</c:v>
                </c:pt>
                <c:pt idx="33">
                  <c:v>51.748350000000002</c:v>
                </c:pt>
                <c:pt idx="34">
                  <c:v>51.4983</c:v>
                </c:pt>
                <c:pt idx="35">
                  <c:v>51.248249999999999</c:v>
                </c:pt>
                <c:pt idx="36">
                  <c:v>50.998199999999997</c:v>
                </c:pt>
                <c:pt idx="37">
                  <c:v>50.748149999999995</c:v>
                </c:pt>
                <c:pt idx="38">
                  <c:v>50.498100000000001</c:v>
                </c:pt>
                <c:pt idx="39">
                  <c:v>50.248049999999999</c:v>
                </c:pt>
                <c:pt idx="40">
                  <c:v>49.997999999999998</c:v>
                </c:pt>
                <c:pt idx="41">
                  <c:v>49.747950000000003</c:v>
                </c:pt>
                <c:pt idx="42">
                  <c:v>49.497900000000001</c:v>
                </c:pt>
                <c:pt idx="43">
                  <c:v>49.24785</c:v>
                </c:pt>
                <c:pt idx="44">
                  <c:v>48.997799999999998</c:v>
                </c:pt>
                <c:pt idx="45">
                  <c:v>48.747750000000003</c:v>
                </c:pt>
                <c:pt idx="46">
                  <c:v>48.497700000000002</c:v>
                </c:pt>
                <c:pt idx="47">
                  <c:v>48.24765</c:v>
                </c:pt>
                <c:pt idx="48">
                  <c:v>47.997599999999998</c:v>
                </c:pt>
                <c:pt idx="49">
                  <c:v>47.747550000000004</c:v>
                </c:pt>
                <c:pt idx="50">
                  <c:v>47.497500000000002</c:v>
                </c:pt>
                <c:pt idx="51">
                  <c:v>47.247450000000001</c:v>
                </c:pt>
                <c:pt idx="52">
                  <c:v>46.997399999999999</c:v>
                </c:pt>
                <c:pt idx="53">
                  <c:v>46.747349999999997</c:v>
                </c:pt>
                <c:pt idx="54">
                  <c:v>46.497299999999996</c:v>
                </c:pt>
                <c:pt idx="55">
                  <c:v>46.247250000000001</c:v>
                </c:pt>
                <c:pt idx="56">
                  <c:v>45.997199999999999</c:v>
                </c:pt>
                <c:pt idx="57">
                  <c:v>45.747149999999998</c:v>
                </c:pt>
                <c:pt idx="58">
                  <c:v>45.497100000000003</c:v>
                </c:pt>
                <c:pt idx="59">
                  <c:v>45.247050000000002</c:v>
                </c:pt>
                <c:pt idx="60">
                  <c:v>44.997</c:v>
                </c:pt>
                <c:pt idx="61">
                  <c:v>44.746949999999998</c:v>
                </c:pt>
                <c:pt idx="62">
                  <c:v>44.496899999999997</c:v>
                </c:pt>
                <c:pt idx="63">
                  <c:v>44.246850000000002</c:v>
                </c:pt>
                <c:pt idx="64">
                  <c:v>43.9968</c:v>
                </c:pt>
                <c:pt idx="65">
                  <c:v>43.746750000000006</c:v>
                </c:pt>
                <c:pt idx="66">
                  <c:v>43.496700000000004</c:v>
                </c:pt>
                <c:pt idx="67">
                  <c:v>43.246650000000002</c:v>
                </c:pt>
                <c:pt idx="68">
                  <c:v>42.996600000000001</c:v>
                </c:pt>
                <c:pt idx="69">
                  <c:v>42.746549999999999</c:v>
                </c:pt>
                <c:pt idx="70">
                  <c:v>42.496499999999997</c:v>
                </c:pt>
                <c:pt idx="71">
                  <c:v>42.246449999999996</c:v>
                </c:pt>
                <c:pt idx="72">
                  <c:v>41.996400000000001</c:v>
                </c:pt>
                <c:pt idx="73">
                  <c:v>41.74635</c:v>
                </c:pt>
                <c:pt idx="74">
                  <c:v>41.496299999999998</c:v>
                </c:pt>
                <c:pt idx="75">
                  <c:v>41.246250000000003</c:v>
                </c:pt>
                <c:pt idx="76">
                  <c:v>40.996200000000002</c:v>
                </c:pt>
                <c:pt idx="77">
                  <c:v>40.74615</c:v>
                </c:pt>
                <c:pt idx="78">
                  <c:v>40.496099999999998</c:v>
                </c:pt>
                <c:pt idx="79">
                  <c:v>40.246049999999997</c:v>
                </c:pt>
                <c:pt idx="80">
                  <c:v>39.995999999999995</c:v>
                </c:pt>
                <c:pt idx="81">
                  <c:v>39.745950000000001</c:v>
                </c:pt>
                <c:pt idx="82">
                  <c:v>39.495899999999999</c:v>
                </c:pt>
                <c:pt idx="83">
                  <c:v>39.245850000000004</c:v>
                </c:pt>
                <c:pt idx="84">
                  <c:v>38.995800000000003</c:v>
                </c:pt>
                <c:pt idx="85">
                  <c:v>38.745750000000001</c:v>
                </c:pt>
                <c:pt idx="86">
                  <c:v>38.495699999999999</c:v>
                </c:pt>
                <c:pt idx="87">
                  <c:v>38.245649999999998</c:v>
                </c:pt>
                <c:pt idx="88">
                  <c:v>37.995599999999996</c:v>
                </c:pt>
                <c:pt idx="89">
                  <c:v>37.745550000000001</c:v>
                </c:pt>
                <c:pt idx="90">
                  <c:v>37.495500000000007</c:v>
                </c:pt>
                <c:pt idx="91">
                  <c:v>37.245449999999998</c:v>
                </c:pt>
                <c:pt idx="92">
                  <c:v>36.995400000000004</c:v>
                </c:pt>
                <c:pt idx="93">
                  <c:v>36.745350000000002</c:v>
                </c:pt>
                <c:pt idx="94">
                  <c:v>36.4953</c:v>
                </c:pt>
                <c:pt idx="95">
                  <c:v>36.245249999999999</c:v>
                </c:pt>
                <c:pt idx="96">
                  <c:v>35.995199999999997</c:v>
                </c:pt>
                <c:pt idx="97">
                  <c:v>35.745149999999995</c:v>
                </c:pt>
                <c:pt idx="98">
                  <c:v>35.495100000000001</c:v>
                </c:pt>
                <c:pt idx="99">
                  <c:v>35.245049999999999</c:v>
                </c:pt>
                <c:pt idx="100">
                  <c:v>34.995000000000005</c:v>
                </c:pt>
                <c:pt idx="101">
                  <c:v>34.744950000000003</c:v>
                </c:pt>
                <c:pt idx="102">
                  <c:v>34.494900000000001</c:v>
                </c:pt>
                <c:pt idx="103">
                  <c:v>34.24485</c:v>
                </c:pt>
                <c:pt idx="104">
                  <c:v>33.994799999999998</c:v>
                </c:pt>
                <c:pt idx="105">
                  <c:v>33.744749999999996</c:v>
                </c:pt>
                <c:pt idx="106">
                  <c:v>33.494699999999995</c:v>
                </c:pt>
                <c:pt idx="107">
                  <c:v>33.24465</c:v>
                </c:pt>
                <c:pt idx="108">
                  <c:v>32.994599999999998</c:v>
                </c:pt>
                <c:pt idx="109">
                  <c:v>32.744550000000004</c:v>
                </c:pt>
                <c:pt idx="110">
                  <c:v>32.494500000000002</c:v>
                </c:pt>
                <c:pt idx="111">
                  <c:v>32.244450000000001</c:v>
                </c:pt>
                <c:pt idx="112">
                  <c:v>31.994399999999999</c:v>
                </c:pt>
                <c:pt idx="113">
                  <c:v>31.744350000000001</c:v>
                </c:pt>
                <c:pt idx="114">
                  <c:v>31.494299999999999</c:v>
                </c:pt>
                <c:pt idx="115">
                  <c:v>31.244250000000001</c:v>
                </c:pt>
                <c:pt idx="116">
                  <c:v>30.994200000000003</c:v>
                </c:pt>
                <c:pt idx="117">
                  <c:v>30.744149999999998</c:v>
                </c:pt>
                <c:pt idx="118">
                  <c:v>30.4941</c:v>
                </c:pt>
                <c:pt idx="119">
                  <c:v>30.244049999999998</c:v>
                </c:pt>
                <c:pt idx="120">
                  <c:v>29.994</c:v>
                </c:pt>
                <c:pt idx="121">
                  <c:v>29.743950000000002</c:v>
                </c:pt>
                <c:pt idx="122">
                  <c:v>29.493899999999996</c:v>
                </c:pt>
                <c:pt idx="123">
                  <c:v>29.243849999999998</c:v>
                </c:pt>
                <c:pt idx="124">
                  <c:v>28.9938</c:v>
                </c:pt>
                <c:pt idx="125">
                  <c:v>28.743749999999999</c:v>
                </c:pt>
                <c:pt idx="126">
                  <c:v>28.4937</c:v>
                </c:pt>
                <c:pt idx="127">
                  <c:v>28.243650000000002</c:v>
                </c:pt>
                <c:pt idx="128">
                  <c:v>27.993600000000001</c:v>
                </c:pt>
                <c:pt idx="129">
                  <c:v>27.743549999999999</c:v>
                </c:pt>
                <c:pt idx="130">
                  <c:v>27.493500000000004</c:v>
                </c:pt>
                <c:pt idx="131">
                  <c:v>27.243449999999996</c:v>
                </c:pt>
                <c:pt idx="132">
                  <c:v>26.993400000000001</c:v>
                </c:pt>
                <c:pt idx="133">
                  <c:v>26.74335</c:v>
                </c:pt>
                <c:pt idx="134">
                  <c:v>26.493299999999998</c:v>
                </c:pt>
                <c:pt idx="135">
                  <c:v>26.243250000000003</c:v>
                </c:pt>
                <c:pt idx="136">
                  <c:v>25.993200000000002</c:v>
                </c:pt>
                <c:pt idx="137">
                  <c:v>25.74315</c:v>
                </c:pt>
                <c:pt idx="138">
                  <c:v>25.493099999999998</c:v>
                </c:pt>
                <c:pt idx="139">
                  <c:v>25.243050000000004</c:v>
                </c:pt>
                <c:pt idx="140">
                  <c:v>24.993000000000002</c:v>
                </c:pt>
                <c:pt idx="141">
                  <c:v>24.74295</c:v>
                </c:pt>
                <c:pt idx="142">
                  <c:v>24.492899999999999</c:v>
                </c:pt>
                <c:pt idx="143">
                  <c:v>24.242849999999997</c:v>
                </c:pt>
                <c:pt idx="144">
                  <c:v>23.992800000000003</c:v>
                </c:pt>
                <c:pt idx="145">
                  <c:v>23.742750000000001</c:v>
                </c:pt>
                <c:pt idx="146">
                  <c:v>23.492699999999999</c:v>
                </c:pt>
                <c:pt idx="147">
                  <c:v>23.242650000000005</c:v>
                </c:pt>
                <c:pt idx="148">
                  <c:v>22.992599999999996</c:v>
                </c:pt>
                <c:pt idx="149">
                  <c:v>22.742550000000001</c:v>
                </c:pt>
                <c:pt idx="150">
                  <c:v>22.4925</c:v>
                </c:pt>
                <c:pt idx="151">
                  <c:v>22.242449999999998</c:v>
                </c:pt>
                <c:pt idx="152">
                  <c:v>21.992400000000004</c:v>
                </c:pt>
                <c:pt idx="153">
                  <c:v>21.742350000000002</c:v>
                </c:pt>
                <c:pt idx="154">
                  <c:v>21.4923</c:v>
                </c:pt>
                <c:pt idx="155">
                  <c:v>21.242249999999999</c:v>
                </c:pt>
                <c:pt idx="156">
                  <c:v>20.992200000000004</c:v>
                </c:pt>
                <c:pt idx="157">
                  <c:v>20.742150000000002</c:v>
                </c:pt>
                <c:pt idx="158">
                  <c:v>20.492099999999994</c:v>
                </c:pt>
                <c:pt idx="159">
                  <c:v>20.242049999999999</c:v>
                </c:pt>
                <c:pt idx="160">
                  <c:v>19.991999999999997</c:v>
                </c:pt>
                <c:pt idx="161">
                  <c:v>19.741950000000003</c:v>
                </c:pt>
                <c:pt idx="162">
                  <c:v>19.491900000000001</c:v>
                </c:pt>
                <c:pt idx="163">
                  <c:v>19.241850000000007</c:v>
                </c:pt>
                <c:pt idx="164">
                  <c:v>18.991799999999998</c:v>
                </c:pt>
                <c:pt idx="165">
                  <c:v>18.741749999999996</c:v>
                </c:pt>
                <c:pt idx="166">
                  <c:v>18.491700000000002</c:v>
                </c:pt>
                <c:pt idx="167">
                  <c:v>18.24165</c:v>
                </c:pt>
                <c:pt idx="168">
                  <c:v>17.991600000000005</c:v>
                </c:pt>
                <c:pt idx="169">
                  <c:v>17.741550000000004</c:v>
                </c:pt>
                <c:pt idx="170">
                  <c:v>17.491499999999995</c:v>
                </c:pt>
                <c:pt idx="171">
                  <c:v>17.24145</c:v>
                </c:pt>
                <c:pt idx="172">
                  <c:v>16.991399999999999</c:v>
                </c:pt>
                <c:pt idx="173">
                  <c:v>16.741350000000004</c:v>
                </c:pt>
                <c:pt idx="174">
                  <c:v>16.491300000000003</c:v>
                </c:pt>
                <c:pt idx="175">
                  <c:v>16.241249999999994</c:v>
                </c:pt>
                <c:pt idx="176">
                  <c:v>15.991199999999999</c:v>
                </c:pt>
                <c:pt idx="177">
                  <c:v>15.741149999999998</c:v>
                </c:pt>
                <c:pt idx="178">
                  <c:v>15.491100000000003</c:v>
                </c:pt>
                <c:pt idx="179">
                  <c:v>15.241050000000001</c:v>
                </c:pt>
                <c:pt idx="180">
                  <c:v>14.991000000000007</c:v>
                </c:pt>
                <c:pt idx="181">
                  <c:v>14.740949999999998</c:v>
                </c:pt>
                <c:pt idx="182">
                  <c:v>14.490899999999996</c:v>
                </c:pt>
                <c:pt idx="183">
                  <c:v>14.240850000000002</c:v>
                </c:pt>
                <c:pt idx="184">
                  <c:v>13.9908</c:v>
                </c:pt>
                <c:pt idx="185">
                  <c:v>13.740750000000006</c:v>
                </c:pt>
                <c:pt idx="186">
                  <c:v>13.490700000000004</c:v>
                </c:pt>
                <c:pt idx="187">
                  <c:v>13.240649999999995</c:v>
                </c:pt>
                <c:pt idx="188">
                  <c:v>12.990600000000001</c:v>
                </c:pt>
                <c:pt idx="189">
                  <c:v>12.740549999999999</c:v>
                </c:pt>
                <c:pt idx="190">
                  <c:v>12.490500000000004</c:v>
                </c:pt>
                <c:pt idx="191">
                  <c:v>12.240450000000003</c:v>
                </c:pt>
                <c:pt idx="192">
                  <c:v>11.990400000000001</c:v>
                </c:pt>
                <c:pt idx="193">
                  <c:v>11.740349999999999</c:v>
                </c:pt>
                <c:pt idx="194">
                  <c:v>11.490299999999998</c:v>
                </c:pt>
                <c:pt idx="195">
                  <c:v>11.240250000000003</c:v>
                </c:pt>
                <c:pt idx="196">
                  <c:v>10.990200000000002</c:v>
                </c:pt>
                <c:pt idx="197">
                  <c:v>10.74015</c:v>
                </c:pt>
                <c:pt idx="198">
                  <c:v>10.490099999999998</c:v>
                </c:pt>
                <c:pt idx="199">
                  <c:v>10.240049999999997</c:v>
                </c:pt>
                <c:pt idx="200">
                  <c:v>9.990000000000002</c:v>
                </c:pt>
                <c:pt idx="201">
                  <c:v>9.7399500000000003</c:v>
                </c:pt>
                <c:pt idx="202">
                  <c:v>9.4898999999999987</c:v>
                </c:pt>
                <c:pt idx="203">
                  <c:v>9.2398500000000041</c:v>
                </c:pt>
                <c:pt idx="204">
                  <c:v>8.9897999999999954</c:v>
                </c:pt>
                <c:pt idx="205">
                  <c:v>8.7397500000000008</c:v>
                </c:pt>
                <c:pt idx="206">
                  <c:v>8.4896999999999991</c:v>
                </c:pt>
                <c:pt idx="207">
                  <c:v>8.2396499999999975</c:v>
                </c:pt>
                <c:pt idx="208">
                  <c:v>7.9896000000000029</c:v>
                </c:pt>
                <c:pt idx="209">
                  <c:v>7.7395500000000013</c:v>
                </c:pt>
                <c:pt idx="210">
                  <c:v>7.4894999999999996</c:v>
                </c:pt>
                <c:pt idx="211">
                  <c:v>7.2394499999999979</c:v>
                </c:pt>
                <c:pt idx="212">
                  <c:v>6.9893999999999963</c:v>
                </c:pt>
                <c:pt idx="213">
                  <c:v>6.7393500000000017</c:v>
                </c:pt>
                <c:pt idx="214">
                  <c:v>6.4893000000000001</c:v>
                </c:pt>
                <c:pt idx="215">
                  <c:v>6.2392500000000055</c:v>
                </c:pt>
                <c:pt idx="216">
                  <c:v>5.9891999999999967</c:v>
                </c:pt>
                <c:pt idx="217">
                  <c:v>5.7391500000000022</c:v>
                </c:pt>
                <c:pt idx="218">
                  <c:v>5.4891000000000005</c:v>
                </c:pt>
                <c:pt idx="219">
                  <c:v>5.2390499999999989</c:v>
                </c:pt>
                <c:pt idx="220">
                  <c:v>4.9890000000000043</c:v>
                </c:pt>
                <c:pt idx="221">
                  <c:v>4.7389499999999956</c:v>
                </c:pt>
                <c:pt idx="222">
                  <c:v>4.488900000000001</c:v>
                </c:pt>
                <c:pt idx="223">
                  <c:v>4.2388499999999993</c:v>
                </c:pt>
                <c:pt idx="224">
                  <c:v>3.9887999999999977</c:v>
                </c:pt>
                <c:pt idx="225">
                  <c:v>3.7387500000000031</c:v>
                </c:pt>
                <c:pt idx="226">
                  <c:v>3.4887000000000015</c:v>
                </c:pt>
                <c:pt idx="227">
                  <c:v>3.2386499999999998</c:v>
                </c:pt>
                <c:pt idx="228">
                  <c:v>2.9885999999999981</c:v>
                </c:pt>
                <c:pt idx="229">
                  <c:v>2.7385499999999965</c:v>
                </c:pt>
                <c:pt idx="230">
                  <c:v>2.4885000000000019</c:v>
                </c:pt>
                <c:pt idx="231">
                  <c:v>2.2384500000000003</c:v>
                </c:pt>
                <c:pt idx="232">
                  <c:v>1.9884000000000057</c:v>
                </c:pt>
                <c:pt idx="233">
                  <c:v>1.738349999999997</c:v>
                </c:pt>
                <c:pt idx="234">
                  <c:v>1.4882999999999953</c:v>
                </c:pt>
                <c:pt idx="235">
                  <c:v>1.2382500000000007</c:v>
                </c:pt>
                <c:pt idx="236">
                  <c:v>0.98819999999999908</c:v>
                </c:pt>
                <c:pt idx="237">
                  <c:v>0.73815000000000452</c:v>
                </c:pt>
                <c:pt idx="238">
                  <c:v>0.48809999999999576</c:v>
                </c:pt>
                <c:pt idx="239">
                  <c:v>0.2380499999999941</c:v>
                </c:pt>
                <c:pt idx="240">
                  <c:v>-1.2000000000000455E-2</c:v>
                </c:pt>
                <c:pt idx="241">
                  <c:v>-0.26205000000000211</c:v>
                </c:pt>
                <c:pt idx="242">
                  <c:v>-0.51209999999999667</c:v>
                </c:pt>
                <c:pt idx="243">
                  <c:v>-0.76214999999999833</c:v>
                </c:pt>
                <c:pt idx="244">
                  <c:v>-1.0122000000000071</c:v>
                </c:pt>
                <c:pt idx="245">
                  <c:v>-1.2622500000000016</c:v>
                </c:pt>
                <c:pt idx="246">
                  <c:v>-1.5123000000000033</c:v>
                </c:pt>
                <c:pt idx="247">
                  <c:v>-1.7623499999999979</c:v>
                </c:pt>
                <c:pt idx="248">
                  <c:v>-2.0123999999999995</c:v>
                </c:pt>
                <c:pt idx="249">
                  <c:v>-2.2624499999999941</c:v>
                </c:pt>
                <c:pt idx="250">
                  <c:v>-2.5125000000000028</c:v>
                </c:pt>
              </c:numCache>
            </c:numRef>
          </c:yVal>
          <c:smooth val="1"/>
        </c:ser>
        <c:ser>
          <c:idx val="10"/>
          <c:order val="9"/>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hx!$P$5:$P$255</c:f>
              <c:numCache>
                <c:formatCode>0.00</c:formatCode>
                <c:ptCount val="251"/>
                <c:pt idx="0">
                  <c:v>70</c:v>
                </c:pt>
                <c:pt idx="1">
                  <c:v>69.749949999999998</c:v>
                </c:pt>
                <c:pt idx="2">
                  <c:v>69.499899999999997</c:v>
                </c:pt>
                <c:pt idx="3">
                  <c:v>69.249849999999995</c:v>
                </c:pt>
                <c:pt idx="4">
                  <c:v>68.999799999999993</c:v>
                </c:pt>
                <c:pt idx="5">
                  <c:v>68.749750000000006</c:v>
                </c:pt>
                <c:pt idx="6">
                  <c:v>68.499700000000004</c:v>
                </c:pt>
                <c:pt idx="7">
                  <c:v>68.249650000000003</c:v>
                </c:pt>
                <c:pt idx="8">
                  <c:v>67.999600000000001</c:v>
                </c:pt>
                <c:pt idx="9">
                  <c:v>67.749549999999999</c:v>
                </c:pt>
                <c:pt idx="10">
                  <c:v>67.499499999999998</c:v>
                </c:pt>
                <c:pt idx="11">
                  <c:v>67.249449999999996</c:v>
                </c:pt>
                <c:pt idx="12">
                  <c:v>66.999399999999994</c:v>
                </c:pt>
                <c:pt idx="13">
                  <c:v>66.749350000000007</c:v>
                </c:pt>
                <c:pt idx="14">
                  <c:v>66.499300000000005</c:v>
                </c:pt>
                <c:pt idx="15">
                  <c:v>66.249250000000004</c:v>
                </c:pt>
                <c:pt idx="16">
                  <c:v>65.999200000000002</c:v>
                </c:pt>
                <c:pt idx="17">
                  <c:v>65.74915</c:v>
                </c:pt>
                <c:pt idx="18">
                  <c:v>65.499099999999999</c:v>
                </c:pt>
                <c:pt idx="19">
                  <c:v>65.249049999999997</c:v>
                </c:pt>
                <c:pt idx="20">
                  <c:v>64.998999999999995</c:v>
                </c:pt>
                <c:pt idx="21">
                  <c:v>64.748950000000008</c:v>
                </c:pt>
                <c:pt idx="22">
                  <c:v>64.498900000000006</c:v>
                </c:pt>
                <c:pt idx="23">
                  <c:v>64.248850000000004</c:v>
                </c:pt>
                <c:pt idx="24">
                  <c:v>63.998800000000003</c:v>
                </c:pt>
                <c:pt idx="25">
                  <c:v>63.748750000000001</c:v>
                </c:pt>
                <c:pt idx="26">
                  <c:v>63.498699999999999</c:v>
                </c:pt>
                <c:pt idx="27">
                  <c:v>63.248649999999998</c:v>
                </c:pt>
                <c:pt idx="28">
                  <c:v>62.998599999999996</c:v>
                </c:pt>
                <c:pt idx="29">
                  <c:v>62.748550000000002</c:v>
                </c:pt>
                <c:pt idx="30">
                  <c:v>62.4985</c:v>
                </c:pt>
                <c:pt idx="31">
                  <c:v>62.248449999999998</c:v>
                </c:pt>
                <c:pt idx="32">
                  <c:v>61.998400000000004</c:v>
                </c:pt>
                <c:pt idx="33">
                  <c:v>61.748350000000002</c:v>
                </c:pt>
                <c:pt idx="34">
                  <c:v>61.4983</c:v>
                </c:pt>
                <c:pt idx="35">
                  <c:v>61.248249999999999</c:v>
                </c:pt>
                <c:pt idx="36">
                  <c:v>60.998199999999997</c:v>
                </c:pt>
                <c:pt idx="37">
                  <c:v>60.748149999999995</c:v>
                </c:pt>
                <c:pt idx="38">
                  <c:v>60.498100000000001</c:v>
                </c:pt>
                <c:pt idx="39">
                  <c:v>60.248049999999999</c:v>
                </c:pt>
                <c:pt idx="40">
                  <c:v>59.997999999999998</c:v>
                </c:pt>
                <c:pt idx="41">
                  <c:v>59.747950000000003</c:v>
                </c:pt>
                <c:pt idx="42">
                  <c:v>59.497900000000001</c:v>
                </c:pt>
                <c:pt idx="43">
                  <c:v>59.24785</c:v>
                </c:pt>
                <c:pt idx="44">
                  <c:v>58.997799999999998</c:v>
                </c:pt>
                <c:pt idx="45">
                  <c:v>58.747750000000003</c:v>
                </c:pt>
                <c:pt idx="46">
                  <c:v>58.497700000000002</c:v>
                </c:pt>
                <c:pt idx="47">
                  <c:v>58.24765</c:v>
                </c:pt>
                <c:pt idx="48">
                  <c:v>57.997599999999998</c:v>
                </c:pt>
                <c:pt idx="49">
                  <c:v>57.747550000000004</c:v>
                </c:pt>
                <c:pt idx="50">
                  <c:v>57.497500000000002</c:v>
                </c:pt>
                <c:pt idx="51">
                  <c:v>57.247450000000001</c:v>
                </c:pt>
                <c:pt idx="52">
                  <c:v>56.997399999999999</c:v>
                </c:pt>
                <c:pt idx="53">
                  <c:v>56.747349999999997</c:v>
                </c:pt>
                <c:pt idx="54">
                  <c:v>56.497299999999996</c:v>
                </c:pt>
                <c:pt idx="55">
                  <c:v>56.247250000000001</c:v>
                </c:pt>
                <c:pt idx="56">
                  <c:v>55.997199999999999</c:v>
                </c:pt>
                <c:pt idx="57">
                  <c:v>55.747149999999998</c:v>
                </c:pt>
                <c:pt idx="58">
                  <c:v>55.497100000000003</c:v>
                </c:pt>
                <c:pt idx="59">
                  <c:v>55.247050000000002</c:v>
                </c:pt>
                <c:pt idx="60">
                  <c:v>54.997</c:v>
                </c:pt>
                <c:pt idx="61">
                  <c:v>54.746949999999998</c:v>
                </c:pt>
                <c:pt idx="62">
                  <c:v>54.496899999999997</c:v>
                </c:pt>
                <c:pt idx="63">
                  <c:v>54.246850000000002</c:v>
                </c:pt>
                <c:pt idx="64">
                  <c:v>53.9968</c:v>
                </c:pt>
                <c:pt idx="65">
                  <c:v>53.746750000000006</c:v>
                </c:pt>
                <c:pt idx="66">
                  <c:v>53.496700000000004</c:v>
                </c:pt>
                <c:pt idx="67">
                  <c:v>53.246650000000002</c:v>
                </c:pt>
                <c:pt idx="68">
                  <c:v>52.996600000000001</c:v>
                </c:pt>
                <c:pt idx="69">
                  <c:v>52.746549999999999</c:v>
                </c:pt>
                <c:pt idx="70">
                  <c:v>52.496499999999997</c:v>
                </c:pt>
                <c:pt idx="71">
                  <c:v>52.246449999999996</c:v>
                </c:pt>
                <c:pt idx="72">
                  <c:v>51.996400000000001</c:v>
                </c:pt>
                <c:pt idx="73">
                  <c:v>51.74635</c:v>
                </c:pt>
                <c:pt idx="74">
                  <c:v>51.496299999999998</c:v>
                </c:pt>
                <c:pt idx="75">
                  <c:v>51.246250000000003</c:v>
                </c:pt>
                <c:pt idx="76">
                  <c:v>50.996200000000002</c:v>
                </c:pt>
                <c:pt idx="77">
                  <c:v>50.74615</c:v>
                </c:pt>
                <c:pt idx="78">
                  <c:v>50.496099999999998</c:v>
                </c:pt>
                <c:pt idx="79">
                  <c:v>50.246049999999997</c:v>
                </c:pt>
                <c:pt idx="80">
                  <c:v>49.995999999999995</c:v>
                </c:pt>
                <c:pt idx="81">
                  <c:v>49.745950000000001</c:v>
                </c:pt>
                <c:pt idx="82">
                  <c:v>49.495899999999999</c:v>
                </c:pt>
                <c:pt idx="83">
                  <c:v>49.245850000000004</c:v>
                </c:pt>
                <c:pt idx="84">
                  <c:v>48.995800000000003</c:v>
                </c:pt>
                <c:pt idx="85">
                  <c:v>48.745750000000001</c:v>
                </c:pt>
                <c:pt idx="86">
                  <c:v>48.495699999999999</c:v>
                </c:pt>
                <c:pt idx="87">
                  <c:v>48.245649999999998</c:v>
                </c:pt>
                <c:pt idx="88">
                  <c:v>47.995599999999996</c:v>
                </c:pt>
                <c:pt idx="89">
                  <c:v>47.745550000000001</c:v>
                </c:pt>
                <c:pt idx="90">
                  <c:v>47.495500000000007</c:v>
                </c:pt>
                <c:pt idx="91">
                  <c:v>47.245449999999998</c:v>
                </c:pt>
                <c:pt idx="92">
                  <c:v>46.995400000000004</c:v>
                </c:pt>
                <c:pt idx="93">
                  <c:v>46.745350000000002</c:v>
                </c:pt>
                <c:pt idx="94">
                  <c:v>46.4953</c:v>
                </c:pt>
                <c:pt idx="95">
                  <c:v>46.245249999999999</c:v>
                </c:pt>
                <c:pt idx="96">
                  <c:v>45.995199999999997</c:v>
                </c:pt>
                <c:pt idx="97">
                  <c:v>45.745149999999995</c:v>
                </c:pt>
                <c:pt idx="98">
                  <c:v>45.495100000000001</c:v>
                </c:pt>
                <c:pt idx="99">
                  <c:v>45.245049999999999</c:v>
                </c:pt>
                <c:pt idx="100">
                  <c:v>44.995000000000005</c:v>
                </c:pt>
                <c:pt idx="101">
                  <c:v>44.744950000000003</c:v>
                </c:pt>
                <c:pt idx="102">
                  <c:v>44.494900000000001</c:v>
                </c:pt>
                <c:pt idx="103">
                  <c:v>44.24485</c:v>
                </c:pt>
                <c:pt idx="104">
                  <c:v>43.994799999999998</c:v>
                </c:pt>
                <c:pt idx="105">
                  <c:v>43.744749999999996</c:v>
                </c:pt>
                <c:pt idx="106">
                  <c:v>43.494699999999995</c:v>
                </c:pt>
                <c:pt idx="107">
                  <c:v>43.24465</c:v>
                </c:pt>
                <c:pt idx="108">
                  <c:v>42.994599999999998</c:v>
                </c:pt>
                <c:pt idx="109">
                  <c:v>42.744550000000004</c:v>
                </c:pt>
                <c:pt idx="110">
                  <c:v>42.494500000000002</c:v>
                </c:pt>
                <c:pt idx="111">
                  <c:v>42.244450000000001</c:v>
                </c:pt>
                <c:pt idx="112">
                  <c:v>41.994399999999999</c:v>
                </c:pt>
                <c:pt idx="113">
                  <c:v>41.744349999999997</c:v>
                </c:pt>
                <c:pt idx="114">
                  <c:v>41.494299999999996</c:v>
                </c:pt>
                <c:pt idx="115">
                  <c:v>41.244250000000001</c:v>
                </c:pt>
                <c:pt idx="116">
                  <c:v>40.994200000000006</c:v>
                </c:pt>
                <c:pt idx="117">
                  <c:v>40.744149999999998</c:v>
                </c:pt>
                <c:pt idx="118">
                  <c:v>40.494100000000003</c:v>
                </c:pt>
                <c:pt idx="119">
                  <c:v>40.244050000000001</c:v>
                </c:pt>
                <c:pt idx="120">
                  <c:v>39.994</c:v>
                </c:pt>
                <c:pt idx="121">
                  <c:v>39.743949999999998</c:v>
                </c:pt>
                <c:pt idx="122">
                  <c:v>39.493899999999996</c:v>
                </c:pt>
                <c:pt idx="123">
                  <c:v>39.243849999999995</c:v>
                </c:pt>
                <c:pt idx="124">
                  <c:v>38.9938</c:v>
                </c:pt>
                <c:pt idx="125">
                  <c:v>38.743749999999999</c:v>
                </c:pt>
                <c:pt idx="126">
                  <c:v>38.493700000000004</c:v>
                </c:pt>
                <c:pt idx="127">
                  <c:v>38.243650000000002</c:v>
                </c:pt>
                <c:pt idx="128">
                  <c:v>37.993600000000001</c:v>
                </c:pt>
                <c:pt idx="129">
                  <c:v>37.743549999999999</c:v>
                </c:pt>
                <c:pt idx="130">
                  <c:v>37.493500000000004</c:v>
                </c:pt>
                <c:pt idx="131">
                  <c:v>37.243449999999996</c:v>
                </c:pt>
                <c:pt idx="132">
                  <c:v>36.993400000000001</c:v>
                </c:pt>
                <c:pt idx="133">
                  <c:v>36.74335</c:v>
                </c:pt>
                <c:pt idx="134">
                  <c:v>36.493299999999998</c:v>
                </c:pt>
                <c:pt idx="135">
                  <c:v>36.243250000000003</c:v>
                </c:pt>
                <c:pt idx="136">
                  <c:v>35.993200000000002</c:v>
                </c:pt>
                <c:pt idx="137">
                  <c:v>35.74315</c:v>
                </c:pt>
                <c:pt idx="138">
                  <c:v>35.493099999999998</c:v>
                </c:pt>
                <c:pt idx="139">
                  <c:v>35.243050000000004</c:v>
                </c:pt>
                <c:pt idx="140">
                  <c:v>34.993000000000002</c:v>
                </c:pt>
                <c:pt idx="141">
                  <c:v>34.74295</c:v>
                </c:pt>
                <c:pt idx="142">
                  <c:v>34.492899999999999</c:v>
                </c:pt>
                <c:pt idx="143">
                  <c:v>34.242849999999997</c:v>
                </c:pt>
                <c:pt idx="144">
                  <c:v>33.992800000000003</c:v>
                </c:pt>
                <c:pt idx="145">
                  <c:v>33.742750000000001</c:v>
                </c:pt>
                <c:pt idx="146">
                  <c:v>33.492699999999999</c:v>
                </c:pt>
                <c:pt idx="147">
                  <c:v>33.242650000000005</c:v>
                </c:pt>
                <c:pt idx="148">
                  <c:v>32.992599999999996</c:v>
                </c:pt>
                <c:pt idx="149">
                  <c:v>32.742550000000001</c:v>
                </c:pt>
                <c:pt idx="150">
                  <c:v>32.4925</c:v>
                </c:pt>
                <c:pt idx="151">
                  <c:v>32.242449999999998</c:v>
                </c:pt>
                <c:pt idx="152">
                  <c:v>31.992400000000004</c:v>
                </c:pt>
                <c:pt idx="153">
                  <c:v>31.742350000000002</c:v>
                </c:pt>
                <c:pt idx="154">
                  <c:v>31.4923</c:v>
                </c:pt>
                <c:pt idx="155">
                  <c:v>31.242249999999999</c:v>
                </c:pt>
                <c:pt idx="156">
                  <c:v>30.992200000000004</c:v>
                </c:pt>
                <c:pt idx="157">
                  <c:v>30.742150000000002</c:v>
                </c:pt>
                <c:pt idx="158">
                  <c:v>30.492099999999994</c:v>
                </c:pt>
                <c:pt idx="159">
                  <c:v>30.242049999999999</c:v>
                </c:pt>
                <c:pt idx="160">
                  <c:v>29.991999999999997</c:v>
                </c:pt>
                <c:pt idx="161">
                  <c:v>29.741950000000003</c:v>
                </c:pt>
                <c:pt idx="162">
                  <c:v>29.491900000000001</c:v>
                </c:pt>
                <c:pt idx="163">
                  <c:v>29.241850000000007</c:v>
                </c:pt>
                <c:pt idx="164">
                  <c:v>28.991799999999998</c:v>
                </c:pt>
                <c:pt idx="165">
                  <c:v>28.741749999999996</c:v>
                </c:pt>
                <c:pt idx="166">
                  <c:v>28.491700000000002</c:v>
                </c:pt>
                <c:pt idx="167">
                  <c:v>28.24165</c:v>
                </c:pt>
                <c:pt idx="168">
                  <c:v>27.991600000000005</c:v>
                </c:pt>
                <c:pt idx="169">
                  <c:v>27.741550000000004</c:v>
                </c:pt>
                <c:pt idx="170">
                  <c:v>27.491499999999995</c:v>
                </c:pt>
                <c:pt idx="171">
                  <c:v>27.24145</c:v>
                </c:pt>
                <c:pt idx="172">
                  <c:v>26.991399999999999</c:v>
                </c:pt>
                <c:pt idx="173">
                  <c:v>26.741350000000004</c:v>
                </c:pt>
                <c:pt idx="174">
                  <c:v>26.491300000000003</c:v>
                </c:pt>
                <c:pt idx="175">
                  <c:v>26.241249999999994</c:v>
                </c:pt>
                <c:pt idx="176">
                  <c:v>25.991199999999999</c:v>
                </c:pt>
                <c:pt idx="177">
                  <c:v>25.741149999999998</c:v>
                </c:pt>
                <c:pt idx="178">
                  <c:v>25.491100000000003</c:v>
                </c:pt>
                <c:pt idx="179">
                  <c:v>25.241050000000001</c:v>
                </c:pt>
                <c:pt idx="180">
                  <c:v>24.991000000000007</c:v>
                </c:pt>
                <c:pt idx="181">
                  <c:v>24.740949999999998</c:v>
                </c:pt>
                <c:pt idx="182">
                  <c:v>24.490899999999996</c:v>
                </c:pt>
                <c:pt idx="183">
                  <c:v>24.240850000000002</c:v>
                </c:pt>
                <c:pt idx="184">
                  <c:v>23.9908</c:v>
                </c:pt>
                <c:pt idx="185">
                  <c:v>23.740750000000006</c:v>
                </c:pt>
                <c:pt idx="186">
                  <c:v>23.490700000000004</c:v>
                </c:pt>
                <c:pt idx="187">
                  <c:v>23.240649999999995</c:v>
                </c:pt>
                <c:pt idx="188">
                  <c:v>22.990600000000001</c:v>
                </c:pt>
                <c:pt idx="189">
                  <c:v>22.740549999999999</c:v>
                </c:pt>
                <c:pt idx="190">
                  <c:v>22.490500000000004</c:v>
                </c:pt>
                <c:pt idx="191">
                  <c:v>22.240450000000003</c:v>
                </c:pt>
                <c:pt idx="192">
                  <c:v>21.990400000000001</c:v>
                </c:pt>
                <c:pt idx="193">
                  <c:v>21.740349999999999</c:v>
                </c:pt>
                <c:pt idx="194">
                  <c:v>21.490299999999998</c:v>
                </c:pt>
                <c:pt idx="195">
                  <c:v>21.240250000000003</c:v>
                </c:pt>
                <c:pt idx="196">
                  <c:v>20.990200000000002</c:v>
                </c:pt>
                <c:pt idx="197">
                  <c:v>20.74015</c:v>
                </c:pt>
                <c:pt idx="198">
                  <c:v>20.490099999999998</c:v>
                </c:pt>
                <c:pt idx="199">
                  <c:v>20.240049999999997</c:v>
                </c:pt>
                <c:pt idx="200">
                  <c:v>19.990000000000002</c:v>
                </c:pt>
                <c:pt idx="201">
                  <c:v>19.73995</c:v>
                </c:pt>
                <c:pt idx="202">
                  <c:v>19.489899999999999</c:v>
                </c:pt>
                <c:pt idx="203">
                  <c:v>19.239850000000004</c:v>
                </c:pt>
                <c:pt idx="204">
                  <c:v>18.989799999999995</c:v>
                </c:pt>
                <c:pt idx="205">
                  <c:v>18.739750000000001</c:v>
                </c:pt>
                <c:pt idx="206">
                  <c:v>18.489699999999999</c:v>
                </c:pt>
                <c:pt idx="207">
                  <c:v>18.239649999999997</c:v>
                </c:pt>
                <c:pt idx="208">
                  <c:v>17.989600000000003</c:v>
                </c:pt>
                <c:pt idx="209">
                  <c:v>17.739550000000001</c:v>
                </c:pt>
                <c:pt idx="210">
                  <c:v>17.4895</c:v>
                </c:pt>
                <c:pt idx="211">
                  <c:v>17.239449999999998</c:v>
                </c:pt>
                <c:pt idx="212">
                  <c:v>16.989399999999996</c:v>
                </c:pt>
                <c:pt idx="213">
                  <c:v>16.739350000000002</c:v>
                </c:pt>
                <c:pt idx="214">
                  <c:v>16.4893</c:v>
                </c:pt>
                <c:pt idx="215">
                  <c:v>16.239250000000006</c:v>
                </c:pt>
                <c:pt idx="216">
                  <c:v>15.989199999999997</c:v>
                </c:pt>
                <c:pt idx="217">
                  <c:v>15.739150000000002</c:v>
                </c:pt>
                <c:pt idx="218">
                  <c:v>15.489100000000001</c:v>
                </c:pt>
                <c:pt idx="219">
                  <c:v>15.239049999999999</c:v>
                </c:pt>
                <c:pt idx="220">
                  <c:v>14.989000000000004</c:v>
                </c:pt>
                <c:pt idx="221">
                  <c:v>14.738949999999996</c:v>
                </c:pt>
                <c:pt idx="222">
                  <c:v>14.488900000000001</c:v>
                </c:pt>
                <c:pt idx="223">
                  <c:v>14.238849999999999</c:v>
                </c:pt>
                <c:pt idx="224">
                  <c:v>13.988799999999998</c:v>
                </c:pt>
                <c:pt idx="225">
                  <c:v>13.738750000000003</c:v>
                </c:pt>
                <c:pt idx="226">
                  <c:v>13.488700000000001</c:v>
                </c:pt>
                <c:pt idx="227">
                  <c:v>13.23865</c:v>
                </c:pt>
                <c:pt idx="228">
                  <c:v>12.988599999999998</c:v>
                </c:pt>
                <c:pt idx="229">
                  <c:v>12.738549999999996</c:v>
                </c:pt>
                <c:pt idx="230">
                  <c:v>12.488500000000002</c:v>
                </c:pt>
                <c:pt idx="231">
                  <c:v>12.23845</c:v>
                </c:pt>
                <c:pt idx="232">
                  <c:v>11.988400000000006</c:v>
                </c:pt>
                <c:pt idx="233">
                  <c:v>11.738349999999997</c:v>
                </c:pt>
                <c:pt idx="234">
                  <c:v>11.488299999999995</c:v>
                </c:pt>
                <c:pt idx="235">
                  <c:v>11.238250000000001</c:v>
                </c:pt>
                <c:pt idx="236">
                  <c:v>10.988199999999999</c:v>
                </c:pt>
                <c:pt idx="237">
                  <c:v>10.738150000000005</c:v>
                </c:pt>
                <c:pt idx="238">
                  <c:v>10.488099999999996</c:v>
                </c:pt>
                <c:pt idx="239">
                  <c:v>10.238049999999994</c:v>
                </c:pt>
                <c:pt idx="240">
                  <c:v>9.9879999999999995</c:v>
                </c:pt>
                <c:pt idx="241">
                  <c:v>9.7379499999999979</c:v>
                </c:pt>
                <c:pt idx="242">
                  <c:v>9.4879000000000033</c:v>
                </c:pt>
                <c:pt idx="243">
                  <c:v>9.2378500000000017</c:v>
                </c:pt>
                <c:pt idx="244">
                  <c:v>8.9877999999999929</c:v>
                </c:pt>
                <c:pt idx="245">
                  <c:v>8.7377499999999984</c:v>
                </c:pt>
                <c:pt idx="246">
                  <c:v>8.4876999999999967</c:v>
                </c:pt>
                <c:pt idx="247">
                  <c:v>8.2376500000000021</c:v>
                </c:pt>
                <c:pt idx="248">
                  <c:v>7.9876000000000005</c:v>
                </c:pt>
                <c:pt idx="249">
                  <c:v>7.7375500000000059</c:v>
                </c:pt>
                <c:pt idx="250">
                  <c:v>7.4874999999999972</c:v>
                </c:pt>
              </c:numCache>
            </c:numRef>
          </c:yVal>
          <c:smooth val="1"/>
        </c:ser>
        <c:ser>
          <c:idx val="11"/>
          <c:order val="10"/>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hx!$Q$5:$Q$255</c:f>
              <c:numCache>
                <c:formatCode>0.00</c:formatCode>
                <c:ptCount val="251"/>
                <c:pt idx="0">
                  <c:v>80</c:v>
                </c:pt>
                <c:pt idx="1">
                  <c:v>79.749949999999998</c:v>
                </c:pt>
                <c:pt idx="2">
                  <c:v>79.499899999999997</c:v>
                </c:pt>
                <c:pt idx="3">
                  <c:v>79.249849999999995</c:v>
                </c:pt>
                <c:pt idx="4">
                  <c:v>78.999799999999993</c:v>
                </c:pt>
                <c:pt idx="5">
                  <c:v>78.749750000000006</c:v>
                </c:pt>
                <c:pt idx="6">
                  <c:v>78.499700000000004</c:v>
                </c:pt>
                <c:pt idx="7">
                  <c:v>78.249650000000003</c:v>
                </c:pt>
                <c:pt idx="8">
                  <c:v>77.999600000000001</c:v>
                </c:pt>
                <c:pt idx="9">
                  <c:v>77.749549999999999</c:v>
                </c:pt>
                <c:pt idx="10">
                  <c:v>77.499499999999998</c:v>
                </c:pt>
                <c:pt idx="11">
                  <c:v>77.249449999999996</c:v>
                </c:pt>
                <c:pt idx="12">
                  <c:v>76.999399999999994</c:v>
                </c:pt>
                <c:pt idx="13">
                  <c:v>76.749350000000007</c:v>
                </c:pt>
                <c:pt idx="14">
                  <c:v>76.499300000000005</c:v>
                </c:pt>
                <c:pt idx="15">
                  <c:v>76.249250000000004</c:v>
                </c:pt>
                <c:pt idx="16">
                  <c:v>75.999200000000002</c:v>
                </c:pt>
                <c:pt idx="17">
                  <c:v>75.74915</c:v>
                </c:pt>
                <c:pt idx="18">
                  <c:v>75.499099999999999</c:v>
                </c:pt>
                <c:pt idx="19">
                  <c:v>75.249049999999997</c:v>
                </c:pt>
                <c:pt idx="20">
                  <c:v>74.998999999999995</c:v>
                </c:pt>
                <c:pt idx="21">
                  <c:v>74.748950000000008</c:v>
                </c:pt>
                <c:pt idx="22">
                  <c:v>74.498900000000006</c:v>
                </c:pt>
                <c:pt idx="23">
                  <c:v>74.248850000000004</c:v>
                </c:pt>
                <c:pt idx="24">
                  <c:v>73.998800000000003</c:v>
                </c:pt>
                <c:pt idx="25">
                  <c:v>73.748750000000001</c:v>
                </c:pt>
                <c:pt idx="26">
                  <c:v>73.498699999999999</c:v>
                </c:pt>
                <c:pt idx="27">
                  <c:v>73.248649999999998</c:v>
                </c:pt>
                <c:pt idx="28">
                  <c:v>72.998599999999996</c:v>
                </c:pt>
                <c:pt idx="29">
                  <c:v>72.748549999999994</c:v>
                </c:pt>
                <c:pt idx="30">
                  <c:v>72.498500000000007</c:v>
                </c:pt>
                <c:pt idx="31">
                  <c:v>72.248450000000005</c:v>
                </c:pt>
                <c:pt idx="32">
                  <c:v>71.998400000000004</c:v>
                </c:pt>
                <c:pt idx="33">
                  <c:v>71.748350000000002</c:v>
                </c:pt>
                <c:pt idx="34">
                  <c:v>71.4983</c:v>
                </c:pt>
                <c:pt idx="35">
                  <c:v>71.248249999999999</c:v>
                </c:pt>
                <c:pt idx="36">
                  <c:v>70.998199999999997</c:v>
                </c:pt>
                <c:pt idx="37">
                  <c:v>70.748149999999995</c:v>
                </c:pt>
                <c:pt idx="38">
                  <c:v>70.498099999999994</c:v>
                </c:pt>
                <c:pt idx="39">
                  <c:v>70.248050000000006</c:v>
                </c:pt>
                <c:pt idx="40">
                  <c:v>69.998000000000005</c:v>
                </c:pt>
                <c:pt idx="41">
                  <c:v>69.747950000000003</c:v>
                </c:pt>
                <c:pt idx="42">
                  <c:v>69.497900000000001</c:v>
                </c:pt>
                <c:pt idx="43">
                  <c:v>69.24785</c:v>
                </c:pt>
                <c:pt idx="44">
                  <c:v>68.997799999999998</c:v>
                </c:pt>
                <c:pt idx="45">
                  <c:v>68.747749999999996</c:v>
                </c:pt>
                <c:pt idx="46">
                  <c:v>68.497699999999995</c:v>
                </c:pt>
                <c:pt idx="47">
                  <c:v>68.247649999999993</c:v>
                </c:pt>
                <c:pt idx="48">
                  <c:v>67.997600000000006</c:v>
                </c:pt>
                <c:pt idx="49">
                  <c:v>67.747550000000004</c:v>
                </c:pt>
                <c:pt idx="50">
                  <c:v>67.497500000000002</c:v>
                </c:pt>
                <c:pt idx="51">
                  <c:v>67.247450000000001</c:v>
                </c:pt>
                <c:pt idx="52">
                  <c:v>66.997399999999999</c:v>
                </c:pt>
                <c:pt idx="53">
                  <c:v>66.747349999999997</c:v>
                </c:pt>
                <c:pt idx="54">
                  <c:v>66.497299999999996</c:v>
                </c:pt>
                <c:pt idx="55">
                  <c:v>66.247250000000008</c:v>
                </c:pt>
                <c:pt idx="56">
                  <c:v>65.997199999999992</c:v>
                </c:pt>
                <c:pt idx="57">
                  <c:v>65.747150000000005</c:v>
                </c:pt>
                <c:pt idx="58">
                  <c:v>65.497100000000003</c:v>
                </c:pt>
                <c:pt idx="59">
                  <c:v>65.247050000000002</c:v>
                </c:pt>
                <c:pt idx="60">
                  <c:v>64.997</c:v>
                </c:pt>
                <c:pt idx="61">
                  <c:v>64.746949999999998</c:v>
                </c:pt>
                <c:pt idx="62">
                  <c:v>64.496899999999997</c:v>
                </c:pt>
                <c:pt idx="63">
                  <c:v>64.246849999999995</c:v>
                </c:pt>
                <c:pt idx="64">
                  <c:v>63.9968</c:v>
                </c:pt>
                <c:pt idx="65">
                  <c:v>63.746750000000006</c:v>
                </c:pt>
                <c:pt idx="66">
                  <c:v>63.496700000000004</c:v>
                </c:pt>
                <c:pt idx="67">
                  <c:v>63.246650000000002</c:v>
                </c:pt>
                <c:pt idx="68">
                  <c:v>62.996600000000001</c:v>
                </c:pt>
                <c:pt idx="69">
                  <c:v>62.746549999999999</c:v>
                </c:pt>
                <c:pt idx="70">
                  <c:v>62.496499999999997</c:v>
                </c:pt>
                <c:pt idx="71">
                  <c:v>62.246449999999996</c:v>
                </c:pt>
                <c:pt idx="72">
                  <c:v>61.996400000000001</c:v>
                </c:pt>
                <c:pt idx="73">
                  <c:v>61.74635</c:v>
                </c:pt>
                <c:pt idx="74">
                  <c:v>61.496299999999998</c:v>
                </c:pt>
                <c:pt idx="75">
                  <c:v>61.246250000000003</c:v>
                </c:pt>
                <c:pt idx="76">
                  <c:v>60.996200000000002</c:v>
                </c:pt>
                <c:pt idx="77">
                  <c:v>60.74615</c:v>
                </c:pt>
                <c:pt idx="78">
                  <c:v>60.496099999999998</c:v>
                </c:pt>
                <c:pt idx="79">
                  <c:v>60.246049999999997</c:v>
                </c:pt>
                <c:pt idx="80">
                  <c:v>59.995999999999995</c:v>
                </c:pt>
                <c:pt idx="81">
                  <c:v>59.745950000000001</c:v>
                </c:pt>
                <c:pt idx="82">
                  <c:v>59.495899999999999</c:v>
                </c:pt>
                <c:pt idx="83">
                  <c:v>59.245850000000004</c:v>
                </c:pt>
                <c:pt idx="84">
                  <c:v>58.995800000000003</c:v>
                </c:pt>
                <c:pt idx="85">
                  <c:v>58.745750000000001</c:v>
                </c:pt>
                <c:pt idx="86">
                  <c:v>58.495699999999999</c:v>
                </c:pt>
                <c:pt idx="87">
                  <c:v>58.245649999999998</c:v>
                </c:pt>
                <c:pt idx="88">
                  <c:v>57.995599999999996</c:v>
                </c:pt>
                <c:pt idx="89">
                  <c:v>57.745550000000001</c:v>
                </c:pt>
                <c:pt idx="90">
                  <c:v>57.495500000000007</c:v>
                </c:pt>
                <c:pt idx="91">
                  <c:v>57.245449999999998</c:v>
                </c:pt>
                <c:pt idx="92">
                  <c:v>56.995400000000004</c:v>
                </c:pt>
                <c:pt idx="93">
                  <c:v>56.745350000000002</c:v>
                </c:pt>
                <c:pt idx="94">
                  <c:v>56.4953</c:v>
                </c:pt>
                <c:pt idx="95">
                  <c:v>56.245249999999999</c:v>
                </c:pt>
                <c:pt idx="96">
                  <c:v>55.995199999999997</c:v>
                </c:pt>
                <c:pt idx="97">
                  <c:v>55.745149999999995</c:v>
                </c:pt>
                <c:pt idx="98">
                  <c:v>55.495100000000001</c:v>
                </c:pt>
                <c:pt idx="99">
                  <c:v>55.245049999999999</c:v>
                </c:pt>
                <c:pt idx="100">
                  <c:v>54.995000000000005</c:v>
                </c:pt>
                <c:pt idx="101">
                  <c:v>54.744950000000003</c:v>
                </c:pt>
                <c:pt idx="102">
                  <c:v>54.494900000000001</c:v>
                </c:pt>
                <c:pt idx="103">
                  <c:v>54.24485</c:v>
                </c:pt>
                <c:pt idx="104">
                  <c:v>53.994799999999998</c:v>
                </c:pt>
                <c:pt idx="105">
                  <c:v>53.744749999999996</c:v>
                </c:pt>
                <c:pt idx="106">
                  <c:v>53.494699999999995</c:v>
                </c:pt>
                <c:pt idx="107">
                  <c:v>53.24465</c:v>
                </c:pt>
                <c:pt idx="108">
                  <c:v>52.994599999999998</c:v>
                </c:pt>
                <c:pt idx="109">
                  <c:v>52.744550000000004</c:v>
                </c:pt>
                <c:pt idx="110">
                  <c:v>52.494500000000002</c:v>
                </c:pt>
                <c:pt idx="111">
                  <c:v>52.244450000000001</c:v>
                </c:pt>
                <c:pt idx="112">
                  <c:v>51.994399999999999</c:v>
                </c:pt>
                <c:pt idx="113">
                  <c:v>51.744349999999997</c:v>
                </c:pt>
                <c:pt idx="114">
                  <c:v>51.494299999999996</c:v>
                </c:pt>
                <c:pt idx="115">
                  <c:v>51.244250000000001</c:v>
                </c:pt>
                <c:pt idx="116">
                  <c:v>50.994200000000006</c:v>
                </c:pt>
                <c:pt idx="117">
                  <c:v>50.744149999999998</c:v>
                </c:pt>
                <c:pt idx="118">
                  <c:v>50.494100000000003</c:v>
                </c:pt>
                <c:pt idx="119">
                  <c:v>50.244050000000001</c:v>
                </c:pt>
                <c:pt idx="120">
                  <c:v>49.994</c:v>
                </c:pt>
                <c:pt idx="121">
                  <c:v>49.743949999999998</c:v>
                </c:pt>
                <c:pt idx="122">
                  <c:v>49.493899999999996</c:v>
                </c:pt>
                <c:pt idx="123">
                  <c:v>49.243849999999995</c:v>
                </c:pt>
                <c:pt idx="124">
                  <c:v>48.9938</c:v>
                </c:pt>
                <c:pt idx="125">
                  <c:v>48.743749999999999</c:v>
                </c:pt>
                <c:pt idx="126">
                  <c:v>48.493700000000004</c:v>
                </c:pt>
                <c:pt idx="127">
                  <c:v>48.243650000000002</c:v>
                </c:pt>
                <c:pt idx="128">
                  <c:v>47.993600000000001</c:v>
                </c:pt>
                <c:pt idx="129">
                  <c:v>47.743549999999999</c:v>
                </c:pt>
                <c:pt idx="130">
                  <c:v>47.493500000000004</c:v>
                </c:pt>
                <c:pt idx="131">
                  <c:v>47.243449999999996</c:v>
                </c:pt>
                <c:pt idx="132">
                  <c:v>46.993400000000001</c:v>
                </c:pt>
                <c:pt idx="133">
                  <c:v>46.74335</c:v>
                </c:pt>
                <c:pt idx="134">
                  <c:v>46.493299999999998</c:v>
                </c:pt>
                <c:pt idx="135">
                  <c:v>46.243250000000003</c:v>
                </c:pt>
                <c:pt idx="136">
                  <c:v>45.993200000000002</c:v>
                </c:pt>
                <c:pt idx="137">
                  <c:v>45.74315</c:v>
                </c:pt>
                <c:pt idx="138">
                  <c:v>45.493099999999998</c:v>
                </c:pt>
                <c:pt idx="139">
                  <c:v>45.243050000000004</c:v>
                </c:pt>
                <c:pt idx="140">
                  <c:v>44.993000000000002</c:v>
                </c:pt>
                <c:pt idx="141">
                  <c:v>44.74295</c:v>
                </c:pt>
                <c:pt idx="142">
                  <c:v>44.492899999999999</c:v>
                </c:pt>
                <c:pt idx="143">
                  <c:v>44.242849999999997</c:v>
                </c:pt>
                <c:pt idx="144">
                  <c:v>43.992800000000003</c:v>
                </c:pt>
                <c:pt idx="145">
                  <c:v>43.742750000000001</c:v>
                </c:pt>
                <c:pt idx="146">
                  <c:v>43.492699999999999</c:v>
                </c:pt>
                <c:pt idx="147">
                  <c:v>43.242650000000005</c:v>
                </c:pt>
                <c:pt idx="148">
                  <c:v>42.992599999999996</c:v>
                </c:pt>
                <c:pt idx="149">
                  <c:v>42.742550000000001</c:v>
                </c:pt>
                <c:pt idx="150">
                  <c:v>42.4925</c:v>
                </c:pt>
                <c:pt idx="151">
                  <c:v>42.242449999999998</c:v>
                </c:pt>
                <c:pt idx="152">
                  <c:v>41.992400000000004</c:v>
                </c:pt>
                <c:pt idx="153">
                  <c:v>41.742350000000002</c:v>
                </c:pt>
                <c:pt idx="154">
                  <c:v>41.4923</c:v>
                </c:pt>
                <c:pt idx="155">
                  <c:v>41.242249999999999</c:v>
                </c:pt>
                <c:pt idx="156">
                  <c:v>40.992200000000004</c:v>
                </c:pt>
                <c:pt idx="157">
                  <c:v>40.742150000000002</c:v>
                </c:pt>
                <c:pt idx="158">
                  <c:v>40.492099999999994</c:v>
                </c:pt>
                <c:pt idx="159">
                  <c:v>40.242049999999999</c:v>
                </c:pt>
                <c:pt idx="160">
                  <c:v>39.991999999999997</c:v>
                </c:pt>
                <c:pt idx="161">
                  <c:v>39.741950000000003</c:v>
                </c:pt>
                <c:pt idx="162">
                  <c:v>39.491900000000001</c:v>
                </c:pt>
                <c:pt idx="163">
                  <c:v>39.241850000000007</c:v>
                </c:pt>
                <c:pt idx="164">
                  <c:v>38.991799999999998</c:v>
                </c:pt>
                <c:pt idx="165">
                  <c:v>38.741749999999996</c:v>
                </c:pt>
                <c:pt idx="166">
                  <c:v>38.491700000000002</c:v>
                </c:pt>
                <c:pt idx="167">
                  <c:v>38.24165</c:v>
                </c:pt>
                <c:pt idx="168">
                  <c:v>37.991600000000005</c:v>
                </c:pt>
                <c:pt idx="169">
                  <c:v>37.741550000000004</c:v>
                </c:pt>
                <c:pt idx="170">
                  <c:v>37.491499999999995</c:v>
                </c:pt>
                <c:pt idx="171">
                  <c:v>37.24145</c:v>
                </c:pt>
                <c:pt idx="172">
                  <c:v>36.991399999999999</c:v>
                </c:pt>
                <c:pt idx="173">
                  <c:v>36.741350000000004</c:v>
                </c:pt>
                <c:pt idx="174">
                  <c:v>36.491300000000003</c:v>
                </c:pt>
                <c:pt idx="175">
                  <c:v>36.241249999999994</c:v>
                </c:pt>
                <c:pt idx="176">
                  <c:v>35.991199999999999</c:v>
                </c:pt>
                <c:pt idx="177">
                  <c:v>35.741149999999998</c:v>
                </c:pt>
                <c:pt idx="178">
                  <c:v>35.491100000000003</c:v>
                </c:pt>
                <c:pt idx="179">
                  <c:v>35.241050000000001</c:v>
                </c:pt>
                <c:pt idx="180">
                  <c:v>34.991000000000007</c:v>
                </c:pt>
                <c:pt idx="181">
                  <c:v>34.740949999999998</c:v>
                </c:pt>
                <c:pt idx="182">
                  <c:v>34.490899999999996</c:v>
                </c:pt>
                <c:pt idx="183">
                  <c:v>34.240850000000002</c:v>
                </c:pt>
                <c:pt idx="184">
                  <c:v>33.9908</c:v>
                </c:pt>
                <c:pt idx="185">
                  <c:v>33.740750000000006</c:v>
                </c:pt>
                <c:pt idx="186">
                  <c:v>33.490700000000004</c:v>
                </c:pt>
                <c:pt idx="187">
                  <c:v>33.240649999999995</c:v>
                </c:pt>
                <c:pt idx="188">
                  <c:v>32.990600000000001</c:v>
                </c:pt>
                <c:pt idx="189">
                  <c:v>32.740549999999999</c:v>
                </c:pt>
                <c:pt idx="190">
                  <c:v>32.490500000000004</c:v>
                </c:pt>
                <c:pt idx="191">
                  <c:v>32.240450000000003</c:v>
                </c:pt>
                <c:pt idx="192">
                  <c:v>31.990400000000001</c:v>
                </c:pt>
                <c:pt idx="193">
                  <c:v>31.740349999999999</c:v>
                </c:pt>
                <c:pt idx="194">
                  <c:v>31.490299999999998</c:v>
                </c:pt>
                <c:pt idx="195">
                  <c:v>31.240250000000003</c:v>
                </c:pt>
                <c:pt idx="196">
                  <c:v>30.990200000000002</c:v>
                </c:pt>
                <c:pt idx="197">
                  <c:v>30.74015</c:v>
                </c:pt>
                <c:pt idx="198">
                  <c:v>30.490099999999998</c:v>
                </c:pt>
                <c:pt idx="199">
                  <c:v>30.240049999999997</c:v>
                </c:pt>
                <c:pt idx="200">
                  <c:v>29.990000000000002</c:v>
                </c:pt>
                <c:pt idx="201">
                  <c:v>29.73995</c:v>
                </c:pt>
                <c:pt idx="202">
                  <c:v>29.489899999999999</c:v>
                </c:pt>
                <c:pt idx="203">
                  <c:v>29.239850000000004</c:v>
                </c:pt>
                <c:pt idx="204">
                  <c:v>28.989799999999995</c:v>
                </c:pt>
                <c:pt idx="205">
                  <c:v>28.739750000000001</c:v>
                </c:pt>
                <c:pt idx="206">
                  <c:v>28.489699999999999</c:v>
                </c:pt>
                <c:pt idx="207">
                  <c:v>28.239649999999997</c:v>
                </c:pt>
                <c:pt idx="208">
                  <c:v>27.989600000000003</c:v>
                </c:pt>
                <c:pt idx="209">
                  <c:v>27.739550000000001</c:v>
                </c:pt>
                <c:pt idx="210">
                  <c:v>27.4895</c:v>
                </c:pt>
                <c:pt idx="211">
                  <c:v>27.239449999999998</c:v>
                </c:pt>
                <c:pt idx="212">
                  <c:v>26.989399999999996</c:v>
                </c:pt>
                <c:pt idx="213">
                  <c:v>26.739350000000002</c:v>
                </c:pt>
                <c:pt idx="214">
                  <c:v>26.4893</c:v>
                </c:pt>
                <c:pt idx="215">
                  <c:v>26.239250000000006</c:v>
                </c:pt>
                <c:pt idx="216">
                  <c:v>25.989199999999997</c:v>
                </c:pt>
                <c:pt idx="217">
                  <c:v>25.739150000000002</c:v>
                </c:pt>
                <c:pt idx="218">
                  <c:v>25.489100000000001</c:v>
                </c:pt>
                <c:pt idx="219">
                  <c:v>25.239049999999999</c:v>
                </c:pt>
                <c:pt idx="220">
                  <c:v>24.989000000000004</c:v>
                </c:pt>
                <c:pt idx="221">
                  <c:v>24.738949999999996</c:v>
                </c:pt>
                <c:pt idx="222">
                  <c:v>24.488900000000001</c:v>
                </c:pt>
                <c:pt idx="223">
                  <c:v>24.238849999999999</c:v>
                </c:pt>
                <c:pt idx="224">
                  <c:v>23.988799999999998</c:v>
                </c:pt>
                <c:pt idx="225">
                  <c:v>23.738750000000003</c:v>
                </c:pt>
                <c:pt idx="226">
                  <c:v>23.488700000000001</c:v>
                </c:pt>
                <c:pt idx="227">
                  <c:v>23.23865</c:v>
                </c:pt>
                <c:pt idx="228">
                  <c:v>22.988599999999998</c:v>
                </c:pt>
                <c:pt idx="229">
                  <c:v>22.738549999999996</c:v>
                </c:pt>
                <c:pt idx="230">
                  <c:v>22.488500000000002</c:v>
                </c:pt>
                <c:pt idx="231">
                  <c:v>22.23845</c:v>
                </c:pt>
                <c:pt idx="232">
                  <c:v>21.988400000000006</c:v>
                </c:pt>
                <c:pt idx="233">
                  <c:v>21.738349999999997</c:v>
                </c:pt>
                <c:pt idx="234">
                  <c:v>21.488299999999995</c:v>
                </c:pt>
                <c:pt idx="235">
                  <c:v>21.238250000000001</c:v>
                </c:pt>
                <c:pt idx="236">
                  <c:v>20.988199999999999</c:v>
                </c:pt>
                <c:pt idx="237">
                  <c:v>20.738150000000005</c:v>
                </c:pt>
                <c:pt idx="238">
                  <c:v>20.488099999999996</c:v>
                </c:pt>
                <c:pt idx="239">
                  <c:v>20.238049999999994</c:v>
                </c:pt>
                <c:pt idx="240">
                  <c:v>19.988</c:v>
                </c:pt>
                <c:pt idx="241">
                  <c:v>19.737949999999998</c:v>
                </c:pt>
                <c:pt idx="242">
                  <c:v>19.487900000000003</c:v>
                </c:pt>
                <c:pt idx="243">
                  <c:v>19.237850000000002</c:v>
                </c:pt>
                <c:pt idx="244">
                  <c:v>18.987799999999993</c:v>
                </c:pt>
                <c:pt idx="245">
                  <c:v>18.737749999999998</c:v>
                </c:pt>
                <c:pt idx="246">
                  <c:v>18.487699999999997</c:v>
                </c:pt>
                <c:pt idx="247">
                  <c:v>18.237650000000002</c:v>
                </c:pt>
                <c:pt idx="248">
                  <c:v>17.9876</c:v>
                </c:pt>
                <c:pt idx="249">
                  <c:v>17.737550000000006</c:v>
                </c:pt>
                <c:pt idx="250">
                  <c:v>17.487499999999997</c:v>
                </c:pt>
              </c:numCache>
            </c:numRef>
          </c:yVal>
          <c:smooth val="1"/>
        </c:ser>
        <c:ser>
          <c:idx val="12"/>
          <c:order val="11"/>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hx!$R$5:$R$255</c:f>
              <c:numCache>
                <c:formatCode>0.00</c:formatCode>
                <c:ptCount val="251"/>
                <c:pt idx="0">
                  <c:v>90</c:v>
                </c:pt>
                <c:pt idx="1">
                  <c:v>89.749949999999998</c:v>
                </c:pt>
                <c:pt idx="2">
                  <c:v>89.499899999999997</c:v>
                </c:pt>
                <c:pt idx="3">
                  <c:v>89.249849999999995</c:v>
                </c:pt>
                <c:pt idx="4">
                  <c:v>88.999799999999993</c:v>
                </c:pt>
                <c:pt idx="5">
                  <c:v>88.749750000000006</c:v>
                </c:pt>
                <c:pt idx="6">
                  <c:v>88.499700000000004</c:v>
                </c:pt>
                <c:pt idx="7">
                  <c:v>88.249650000000003</c:v>
                </c:pt>
                <c:pt idx="8">
                  <c:v>87.999600000000001</c:v>
                </c:pt>
                <c:pt idx="9">
                  <c:v>87.749549999999999</c:v>
                </c:pt>
                <c:pt idx="10">
                  <c:v>87.499499999999998</c:v>
                </c:pt>
                <c:pt idx="11">
                  <c:v>87.249449999999996</c:v>
                </c:pt>
                <c:pt idx="12">
                  <c:v>86.999399999999994</c:v>
                </c:pt>
                <c:pt idx="13">
                  <c:v>86.749350000000007</c:v>
                </c:pt>
                <c:pt idx="14">
                  <c:v>86.499300000000005</c:v>
                </c:pt>
                <c:pt idx="15">
                  <c:v>86.249250000000004</c:v>
                </c:pt>
                <c:pt idx="16">
                  <c:v>85.999200000000002</c:v>
                </c:pt>
                <c:pt idx="17">
                  <c:v>85.74915</c:v>
                </c:pt>
                <c:pt idx="18">
                  <c:v>85.499099999999999</c:v>
                </c:pt>
                <c:pt idx="19">
                  <c:v>85.249049999999997</c:v>
                </c:pt>
                <c:pt idx="20">
                  <c:v>84.998999999999995</c:v>
                </c:pt>
                <c:pt idx="21">
                  <c:v>84.748950000000008</c:v>
                </c:pt>
                <c:pt idx="22">
                  <c:v>84.498900000000006</c:v>
                </c:pt>
                <c:pt idx="23">
                  <c:v>84.248850000000004</c:v>
                </c:pt>
                <c:pt idx="24">
                  <c:v>83.998800000000003</c:v>
                </c:pt>
                <c:pt idx="25">
                  <c:v>83.748750000000001</c:v>
                </c:pt>
                <c:pt idx="26">
                  <c:v>83.498699999999999</c:v>
                </c:pt>
                <c:pt idx="27">
                  <c:v>83.248649999999998</c:v>
                </c:pt>
                <c:pt idx="28">
                  <c:v>82.998599999999996</c:v>
                </c:pt>
                <c:pt idx="29">
                  <c:v>82.748549999999994</c:v>
                </c:pt>
                <c:pt idx="30">
                  <c:v>82.498500000000007</c:v>
                </c:pt>
                <c:pt idx="31">
                  <c:v>82.248450000000005</c:v>
                </c:pt>
                <c:pt idx="32">
                  <c:v>81.998400000000004</c:v>
                </c:pt>
                <c:pt idx="33">
                  <c:v>81.748350000000002</c:v>
                </c:pt>
                <c:pt idx="34">
                  <c:v>81.4983</c:v>
                </c:pt>
                <c:pt idx="35">
                  <c:v>81.248249999999999</c:v>
                </c:pt>
                <c:pt idx="36">
                  <c:v>80.998199999999997</c:v>
                </c:pt>
                <c:pt idx="37">
                  <c:v>80.748149999999995</c:v>
                </c:pt>
                <c:pt idx="38">
                  <c:v>80.498099999999994</c:v>
                </c:pt>
                <c:pt idx="39">
                  <c:v>80.248050000000006</c:v>
                </c:pt>
                <c:pt idx="40">
                  <c:v>79.998000000000005</c:v>
                </c:pt>
                <c:pt idx="41">
                  <c:v>79.747950000000003</c:v>
                </c:pt>
                <c:pt idx="42">
                  <c:v>79.497900000000001</c:v>
                </c:pt>
                <c:pt idx="43">
                  <c:v>79.24785</c:v>
                </c:pt>
                <c:pt idx="44">
                  <c:v>78.997799999999998</c:v>
                </c:pt>
                <c:pt idx="45">
                  <c:v>78.747749999999996</c:v>
                </c:pt>
                <c:pt idx="46">
                  <c:v>78.497699999999995</c:v>
                </c:pt>
                <c:pt idx="47">
                  <c:v>78.247649999999993</c:v>
                </c:pt>
                <c:pt idx="48">
                  <c:v>77.997600000000006</c:v>
                </c:pt>
                <c:pt idx="49">
                  <c:v>77.747550000000004</c:v>
                </c:pt>
                <c:pt idx="50">
                  <c:v>77.497500000000002</c:v>
                </c:pt>
                <c:pt idx="51">
                  <c:v>77.247450000000001</c:v>
                </c:pt>
                <c:pt idx="52">
                  <c:v>76.997399999999999</c:v>
                </c:pt>
                <c:pt idx="53">
                  <c:v>76.747349999999997</c:v>
                </c:pt>
                <c:pt idx="54">
                  <c:v>76.497299999999996</c:v>
                </c:pt>
                <c:pt idx="55">
                  <c:v>76.247250000000008</c:v>
                </c:pt>
                <c:pt idx="56">
                  <c:v>75.997199999999992</c:v>
                </c:pt>
                <c:pt idx="57">
                  <c:v>75.747150000000005</c:v>
                </c:pt>
                <c:pt idx="58">
                  <c:v>75.497100000000003</c:v>
                </c:pt>
                <c:pt idx="59">
                  <c:v>75.247050000000002</c:v>
                </c:pt>
                <c:pt idx="60">
                  <c:v>74.997</c:v>
                </c:pt>
                <c:pt idx="61">
                  <c:v>74.746949999999998</c:v>
                </c:pt>
                <c:pt idx="62">
                  <c:v>74.496899999999997</c:v>
                </c:pt>
                <c:pt idx="63">
                  <c:v>74.246849999999995</c:v>
                </c:pt>
                <c:pt idx="64">
                  <c:v>73.996800000000007</c:v>
                </c:pt>
                <c:pt idx="65">
                  <c:v>73.746750000000006</c:v>
                </c:pt>
                <c:pt idx="66">
                  <c:v>73.496700000000004</c:v>
                </c:pt>
                <c:pt idx="67">
                  <c:v>73.246650000000002</c:v>
                </c:pt>
                <c:pt idx="68">
                  <c:v>72.996600000000001</c:v>
                </c:pt>
                <c:pt idx="69">
                  <c:v>72.746549999999999</c:v>
                </c:pt>
                <c:pt idx="70">
                  <c:v>72.496499999999997</c:v>
                </c:pt>
                <c:pt idx="71">
                  <c:v>72.246449999999996</c:v>
                </c:pt>
                <c:pt idx="72">
                  <c:v>71.996399999999994</c:v>
                </c:pt>
                <c:pt idx="73">
                  <c:v>71.746350000000007</c:v>
                </c:pt>
                <c:pt idx="74">
                  <c:v>71.496299999999991</c:v>
                </c:pt>
                <c:pt idx="75">
                  <c:v>71.246250000000003</c:v>
                </c:pt>
                <c:pt idx="76">
                  <c:v>70.996200000000002</c:v>
                </c:pt>
                <c:pt idx="77">
                  <c:v>70.74615</c:v>
                </c:pt>
                <c:pt idx="78">
                  <c:v>70.496099999999998</c:v>
                </c:pt>
                <c:pt idx="79">
                  <c:v>70.246049999999997</c:v>
                </c:pt>
                <c:pt idx="80">
                  <c:v>69.995999999999995</c:v>
                </c:pt>
                <c:pt idx="81">
                  <c:v>69.745949999999993</c:v>
                </c:pt>
                <c:pt idx="82">
                  <c:v>69.495900000000006</c:v>
                </c:pt>
                <c:pt idx="83">
                  <c:v>69.245850000000004</c:v>
                </c:pt>
                <c:pt idx="84">
                  <c:v>68.995800000000003</c:v>
                </c:pt>
                <c:pt idx="85">
                  <c:v>68.745750000000001</c:v>
                </c:pt>
                <c:pt idx="86">
                  <c:v>68.495699999999999</c:v>
                </c:pt>
                <c:pt idx="87">
                  <c:v>68.245649999999998</c:v>
                </c:pt>
                <c:pt idx="88">
                  <c:v>67.995599999999996</c:v>
                </c:pt>
                <c:pt idx="89">
                  <c:v>67.745550000000009</c:v>
                </c:pt>
                <c:pt idx="90">
                  <c:v>67.495500000000007</c:v>
                </c:pt>
                <c:pt idx="91">
                  <c:v>67.245450000000005</c:v>
                </c:pt>
                <c:pt idx="92">
                  <c:v>66.995400000000004</c:v>
                </c:pt>
                <c:pt idx="93">
                  <c:v>66.745350000000002</c:v>
                </c:pt>
                <c:pt idx="94">
                  <c:v>66.4953</c:v>
                </c:pt>
                <c:pt idx="95">
                  <c:v>66.245249999999999</c:v>
                </c:pt>
                <c:pt idx="96">
                  <c:v>65.995199999999997</c:v>
                </c:pt>
                <c:pt idx="97">
                  <c:v>65.745149999999995</c:v>
                </c:pt>
                <c:pt idx="98">
                  <c:v>65.495100000000008</c:v>
                </c:pt>
                <c:pt idx="99">
                  <c:v>65.245049999999992</c:v>
                </c:pt>
                <c:pt idx="100">
                  <c:v>64.995000000000005</c:v>
                </c:pt>
                <c:pt idx="101">
                  <c:v>64.744950000000003</c:v>
                </c:pt>
                <c:pt idx="102">
                  <c:v>64.494900000000001</c:v>
                </c:pt>
                <c:pt idx="103">
                  <c:v>64.24485</c:v>
                </c:pt>
                <c:pt idx="104">
                  <c:v>63.994799999999998</c:v>
                </c:pt>
                <c:pt idx="105">
                  <c:v>63.744749999999996</c:v>
                </c:pt>
                <c:pt idx="106">
                  <c:v>63.494699999999995</c:v>
                </c:pt>
                <c:pt idx="107">
                  <c:v>63.24465</c:v>
                </c:pt>
                <c:pt idx="108">
                  <c:v>62.994599999999998</c:v>
                </c:pt>
                <c:pt idx="109">
                  <c:v>62.744550000000004</c:v>
                </c:pt>
                <c:pt idx="110">
                  <c:v>62.494500000000002</c:v>
                </c:pt>
                <c:pt idx="111">
                  <c:v>62.244450000000001</c:v>
                </c:pt>
                <c:pt idx="112">
                  <c:v>61.994399999999999</c:v>
                </c:pt>
                <c:pt idx="113">
                  <c:v>61.744349999999997</c:v>
                </c:pt>
                <c:pt idx="114">
                  <c:v>61.494299999999996</c:v>
                </c:pt>
                <c:pt idx="115">
                  <c:v>61.244250000000001</c:v>
                </c:pt>
                <c:pt idx="116">
                  <c:v>60.994200000000006</c:v>
                </c:pt>
                <c:pt idx="117">
                  <c:v>60.744149999999998</c:v>
                </c:pt>
                <c:pt idx="118">
                  <c:v>60.494100000000003</c:v>
                </c:pt>
                <c:pt idx="119">
                  <c:v>60.244050000000001</c:v>
                </c:pt>
                <c:pt idx="120">
                  <c:v>59.994</c:v>
                </c:pt>
                <c:pt idx="121">
                  <c:v>59.743949999999998</c:v>
                </c:pt>
                <c:pt idx="122">
                  <c:v>59.493899999999996</c:v>
                </c:pt>
                <c:pt idx="123">
                  <c:v>59.243849999999995</c:v>
                </c:pt>
                <c:pt idx="124">
                  <c:v>58.9938</c:v>
                </c:pt>
                <c:pt idx="125">
                  <c:v>58.743749999999999</c:v>
                </c:pt>
                <c:pt idx="126">
                  <c:v>58.493700000000004</c:v>
                </c:pt>
                <c:pt idx="127">
                  <c:v>58.243650000000002</c:v>
                </c:pt>
                <c:pt idx="128">
                  <c:v>57.993600000000001</c:v>
                </c:pt>
                <c:pt idx="129">
                  <c:v>57.743549999999999</c:v>
                </c:pt>
                <c:pt idx="130">
                  <c:v>57.493500000000004</c:v>
                </c:pt>
                <c:pt idx="131">
                  <c:v>57.243449999999996</c:v>
                </c:pt>
                <c:pt idx="132">
                  <c:v>56.993400000000001</c:v>
                </c:pt>
                <c:pt idx="133">
                  <c:v>56.74335</c:v>
                </c:pt>
                <c:pt idx="134">
                  <c:v>56.493299999999998</c:v>
                </c:pt>
                <c:pt idx="135">
                  <c:v>56.243250000000003</c:v>
                </c:pt>
                <c:pt idx="136">
                  <c:v>55.993200000000002</c:v>
                </c:pt>
                <c:pt idx="137">
                  <c:v>55.74315</c:v>
                </c:pt>
                <c:pt idx="138">
                  <c:v>55.493099999999998</c:v>
                </c:pt>
                <c:pt idx="139">
                  <c:v>55.243050000000004</c:v>
                </c:pt>
                <c:pt idx="140">
                  <c:v>54.993000000000002</c:v>
                </c:pt>
                <c:pt idx="141">
                  <c:v>54.74295</c:v>
                </c:pt>
                <c:pt idx="142">
                  <c:v>54.492899999999999</c:v>
                </c:pt>
                <c:pt idx="143">
                  <c:v>54.242849999999997</c:v>
                </c:pt>
                <c:pt idx="144">
                  <c:v>53.992800000000003</c:v>
                </c:pt>
                <c:pt idx="145">
                  <c:v>53.742750000000001</c:v>
                </c:pt>
                <c:pt idx="146">
                  <c:v>53.492699999999999</c:v>
                </c:pt>
                <c:pt idx="147">
                  <c:v>53.242650000000005</c:v>
                </c:pt>
                <c:pt idx="148">
                  <c:v>52.992599999999996</c:v>
                </c:pt>
                <c:pt idx="149">
                  <c:v>52.742550000000001</c:v>
                </c:pt>
                <c:pt idx="150">
                  <c:v>52.4925</c:v>
                </c:pt>
                <c:pt idx="151">
                  <c:v>52.242449999999998</c:v>
                </c:pt>
                <c:pt idx="152">
                  <c:v>51.992400000000004</c:v>
                </c:pt>
                <c:pt idx="153">
                  <c:v>51.742350000000002</c:v>
                </c:pt>
                <c:pt idx="154">
                  <c:v>51.4923</c:v>
                </c:pt>
                <c:pt idx="155">
                  <c:v>51.242249999999999</c:v>
                </c:pt>
                <c:pt idx="156">
                  <c:v>50.992200000000004</c:v>
                </c:pt>
                <c:pt idx="157">
                  <c:v>50.742150000000002</c:v>
                </c:pt>
                <c:pt idx="158">
                  <c:v>50.492099999999994</c:v>
                </c:pt>
                <c:pt idx="159">
                  <c:v>50.242049999999999</c:v>
                </c:pt>
                <c:pt idx="160">
                  <c:v>49.991999999999997</c:v>
                </c:pt>
                <c:pt idx="161">
                  <c:v>49.741950000000003</c:v>
                </c:pt>
                <c:pt idx="162">
                  <c:v>49.491900000000001</c:v>
                </c:pt>
                <c:pt idx="163">
                  <c:v>49.241850000000007</c:v>
                </c:pt>
                <c:pt idx="164">
                  <c:v>48.991799999999998</c:v>
                </c:pt>
                <c:pt idx="165">
                  <c:v>48.741749999999996</c:v>
                </c:pt>
                <c:pt idx="166">
                  <c:v>48.491700000000002</c:v>
                </c:pt>
                <c:pt idx="167">
                  <c:v>48.24165</c:v>
                </c:pt>
                <c:pt idx="168">
                  <c:v>47.991600000000005</c:v>
                </c:pt>
                <c:pt idx="169">
                  <c:v>47.741550000000004</c:v>
                </c:pt>
                <c:pt idx="170">
                  <c:v>47.491499999999995</c:v>
                </c:pt>
                <c:pt idx="171">
                  <c:v>47.24145</c:v>
                </c:pt>
                <c:pt idx="172">
                  <c:v>46.991399999999999</c:v>
                </c:pt>
                <c:pt idx="173">
                  <c:v>46.741350000000004</c:v>
                </c:pt>
                <c:pt idx="174">
                  <c:v>46.491300000000003</c:v>
                </c:pt>
                <c:pt idx="175">
                  <c:v>46.241249999999994</c:v>
                </c:pt>
                <c:pt idx="176">
                  <c:v>45.991199999999999</c:v>
                </c:pt>
                <c:pt idx="177">
                  <c:v>45.741149999999998</c:v>
                </c:pt>
                <c:pt idx="178">
                  <c:v>45.491100000000003</c:v>
                </c:pt>
                <c:pt idx="179">
                  <c:v>45.241050000000001</c:v>
                </c:pt>
                <c:pt idx="180">
                  <c:v>44.991000000000007</c:v>
                </c:pt>
                <c:pt idx="181">
                  <c:v>44.740949999999998</c:v>
                </c:pt>
                <c:pt idx="182">
                  <c:v>44.490899999999996</c:v>
                </c:pt>
                <c:pt idx="183">
                  <c:v>44.240850000000002</c:v>
                </c:pt>
                <c:pt idx="184">
                  <c:v>43.9908</c:v>
                </c:pt>
                <c:pt idx="185">
                  <c:v>43.740750000000006</c:v>
                </c:pt>
                <c:pt idx="186">
                  <c:v>43.490700000000004</c:v>
                </c:pt>
                <c:pt idx="187">
                  <c:v>43.240649999999995</c:v>
                </c:pt>
                <c:pt idx="188">
                  <c:v>42.990600000000001</c:v>
                </c:pt>
                <c:pt idx="189">
                  <c:v>42.740549999999999</c:v>
                </c:pt>
                <c:pt idx="190">
                  <c:v>42.490500000000004</c:v>
                </c:pt>
                <c:pt idx="191">
                  <c:v>42.240450000000003</c:v>
                </c:pt>
                <c:pt idx="192">
                  <c:v>41.990400000000001</c:v>
                </c:pt>
                <c:pt idx="193">
                  <c:v>41.740349999999999</c:v>
                </c:pt>
                <c:pt idx="194">
                  <c:v>41.490299999999998</c:v>
                </c:pt>
                <c:pt idx="195">
                  <c:v>41.240250000000003</c:v>
                </c:pt>
                <c:pt idx="196">
                  <c:v>40.990200000000002</c:v>
                </c:pt>
                <c:pt idx="197">
                  <c:v>40.74015</c:v>
                </c:pt>
                <c:pt idx="198">
                  <c:v>40.490099999999998</c:v>
                </c:pt>
                <c:pt idx="199">
                  <c:v>40.240049999999997</c:v>
                </c:pt>
                <c:pt idx="200">
                  <c:v>39.99</c:v>
                </c:pt>
                <c:pt idx="201">
                  <c:v>39.73995</c:v>
                </c:pt>
                <c:pt idx="202">
                  <c:v>39.489899999999999</c:v>
                </c:pt>
                <c:pt idx="203">
                  <c:v>39.239850000000004</c:v>
                </c:pt>
                <c:pt idx="204">
                  <c:v>38.989799999999995</c:v>
                </c:pt>
                <c:pt idx="205">
                  <c:v>38.739750000000001</c:v>
                </c:pt>
                <c:pt idx="206">
                  <c:v>38.489699999999999</c:v>
                </c:pt>
                <c:pt idx="207">
                  <c:v>38.239649999999997</c:v>
                </c:pt>
                <c:pt idx="208">
                  <c:v>37.989600000000003</c:v>
                </c:pt>
                <c:pt idx="209">
                  <c:v>37.739550000000001</c:v>
                </c:pt>
                <c:pt idx="210">
                  <c:v>37.4895</c:v>
                </c:pt>
                <c:pt idx="211">
                  <c:v>37.239449999999998</c:v>
                </c:pt>
                <c:pt idx="212">
                  <c:v>36.989399999999996</c:v>
                </c:pt>
                <c:pt idx="213">
                  <c:v>36.739350000000002</c:v>
                </c:pt>
                <c:pt idx="214">
                  <c:v>36.4893</c:v>
                </c:pt>
                <c:pt idx="215">
                  <c:v>36.239250000000006</c:v>
                </c:pt>
                <c:pt idx="216">
                  <c:v>35.989199999999997</c:v>
                </c:pt>
                <c:pt idx="217">
                  <c:v>35.739150000000002</c:v>
                </c:pt>
                <c:pt idx="218">
                  <c:v>35.489100000000001</c:v>
                </c:pt>
                <c:pt idx="219">
                  <c:v>35.239049999999999</c:v>
                </c:pt>
                <c:pt idx="220">
                  <c:v>34.989000000000004</c:v>
                </c:pt>
                <c:pt idx="221">
                  <c:v>34.738949999999996</c:v>
                </c:pt>
                <c:pt idx="222">
                  <c:v>34.488900000000001</c:v>
                </c:pt>
                <c:pt idx="223">
                  <c:v>34.238849999999999</c:v>
                </c:pt>
                <c:pt idx="224">
                  <c:v>33.988799999999998</c:v>
                </c:pt>
                <c:pt idx="225">
                  <c:v>33.738750000000003</c:v>
                </c:pt>
                <c:pt idx="226">
                  <c:v>33.488700000000001</c:v>
                </c:pt>
                <c:pt idx="227">
                  <c:v>33.23865</c:v>
                </c:pt>
                <c:pt idx="228">
                  <c:v>32.988599999999998</c:v>
                </c:pt>
                <c:pt idx="229">
                  <c:v>32.738549999999996</c:v>
                </c:pt>
                <c:pt idx="230">
                  <c:v>32.488500000000002</c:v>
                </c:pt>
                <c:pt idx="231">
                  <c:v>32.23845</c:v>
                </c:pt>
                <c:pt idx="232">
                  <c:v>31.988400000000006</c:v>
                </c:pt>
                <c:pt idx="233">
                  <c:v>31.738349999999997</c:v>
                </c:pt>
                <c:pt idx="234">
                  <c:v>31.488299999999995</c:v>
                </c:pt>
                <c:pt idx="235">
                  <c:v>31.238250000000001</c:v>
                </c:pt>
                <c:pt idx="236">
                  <c:v>30.988199999999999</c:v>
                </c:pt>
                <c:pt idx="237">
                  <c:v>30.738150000000005</c:v>
                </c:pt>
                <c:pt idx="238">
                  <c:v>30.488099999999996</c:v>
                </c:pt>
                <c:pt idx="239">
                  <c:v>30.238049999999994</c:v>
                </c:pt>
                <c:pt idx="240">
                  <c:v>29.988</c:v>
                </c:pt>
                <c:pt idx="241">
                  <c:v>29.737949999999998</c:v>
                </c:pt>
                <c:pt idx="242">
                  <c:v>29.487900000000003</c:v>
                </c:pt>
                <c:pt idx="243">
                  <c:v>29.237850000000002</c:v>
                </c:pt>
                <c:pt idx="244">
                  <c:v>28.987799999999993</c:v>
                </c:pt>
                <c:pt idx="245">
                  <c:v>28.737749999999998</c:v>
                </c:pt>
                <c:pt idx="246">
                  <c:v>28.487699999999997</c:v>
                </c:pt>
                <c:pt idx="247">
                  <c:v>28.237650000000002</c:v>
                </c:pt>
                <c:pt idx="248">
                  <c:v>27.9876</c:v>
                </c:pt>
                <c:pt idx="249">
                  <c:v>27.737550000000006</c:v>
                </c:pt>
                <c:pt idx="250">
                  <c:v>27.487499999999997</c:v>
                </c:pt>
              </c:numCache>
            </c:numRef>
          </c:yVal>
          <c:smooth val="1"/>
        </c:ser>
        <c:ser>
          <c:idx val="13"/>
          <c:order val="12"/>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hx!$S$5:$S$255</c:f>
              <c:numCache>
                <c:formatCode>0.00</c:formatCode>
                <c:ptCount val="251"/>
                <c:pt idx="0">
                  <c:v>100</c:v>
                </c:pt>
                <c:pt idx="1">
                  <c:v>99.749949999999998</c:v>
                </c:pt>
                <c:pt idx="2">
                  <c:v>99.499899999999997</c:v>
                </c:pt>
                <c:pt idx="3">
                  <c:v>99.249849999999995</c:v>
                </c:pt>
                <c:pt idx="4">
                  <c:v>98.999799999999993</c:v>
                </c:pt>
                <c:pt idx="5">
                  <c:v>98.749750000000006</c:v>
                </c:pt>
                <c:pt idx="6">
                  <c:v>98.499700000000004</c:v>
                </c:pt>
                <c:pt idx="7">
                  <c:v>98.249650000000003</c:v>
                </c:pt>
                <c:pt idx="8">
                  <c:v>97.999600000000001</c:v>
                </c:pt>
                <c:pt idx="9">
                  <c:v>97.749549999999999</c:v>
                </c:pt>
                <c:pt idx="10">
                  <c:v>97.499499999999998</c:v>
                </c:pt>
                <c:pt idx="11">
                  <c:v>97.249449999999996</c:v>
                </c:pt>
                <c:pt idx="12">
                  <c:v>96.999399999999994</c:v>
                </c:pt>
                <c:pt idx="13">
                  <c:v>96.749350000000007</c:v>
                </c:pt>
                <c:pt idx="14">
                  <c:v>96.499300000000005</c:v>
                </c:pt>
                <c:pt idx="15">
                  <c:v>96.249250000000004</c:v>
                </c:pt>
                <c:pt idx="16">
                  <c:v>95.999200000000002</c:v>
                </c:pt>
                <c:pt idx="17">
                  <c:v>95.74915</c:v>
                </c:pt>
                <c:pt idx="18">
                  <c:v>95.499099999999999</c:v>
                </c:pt>
                <c:pt idx="19">
                  <c:v>95.249049999999997</c:v>
                </c:pt>
                <c:pt idx="20">
                  <c:v>94.998999999999995</c:v>
                </c:pt>
                <c:pt idx="21">
                  <c:v>94.748950000000008</c:v>
                </c:pt>
                <c:pt idx="22">
                  <c:v>94.498900000000006</c:v>
                </c:pt>
                <c:pt idx="23">
                  <c:v>94.248850000000004</c:v>
                </c:pt>
                <c:pt idx="24">
                  <c:v>93.998800000000003</c:v>
                </c:pt>
                <c:pt idx="25">
                  <c:v>93.748750000000001</c:v>
                </c:pt>
                <c:pt idx="26">
                  <c:v>93.498699999999999</c:v>
                </c:pt>
                <c:pt idx="27">
                  <c:v>93.248649999999998</c:v>
                </c:pt>
                <c:pt idx="28">
                  <c:v>92.998599999999996</c:v>
                </c:pt>
                <c:pt idx="29">
                  <c:v>92.748549999999994</c:v>
                </c:pt>
                <c:pt idx="30">
                  <c:v>92.498500000000007</c:v>
                </c:pt>
                <c:pt idx="31">
                  <c:v>92.248450000000005</c:v>
                </c:pt>
                <c:pt idx="32">
                  <c:v>91.998400000000004</c:v>
                </c:pt>
                <c:pt idx="33">
                  <c:v>91.748350000000002</c:v>
                </c:pt>
                <c:pt idx="34">
                  <c:v>91.4983</c:v>
                </c:pt>
                <c:pt idx="35">
                  <c:v>91.248249999999999</c:v>
                </c:pt>
                <c:pt idx="36">
                  <c:v>90.998199999999997</c:v>
                </c:pt>
                <c:pt idx="37">
                  <c:v>90.748149999999995</c:v>
                </c:pt>
                <c:pt idx="38">
                  <c:v>90.498099999999994</c:v>
                </c:pt>
                <c:pt idx="39">
                  <c:v>90.248050000000006</c:v>
                </c:pt>
                <c:pt idx="40">
                  <c:v>89.998000000000005</c:v>
                </c:pt>
                <c:pt idx="41">
                  <c:v>89.747950000000003</c:v>
                </c:pt>
                <c:pt idx="42">
                  <c:v>89.497900000000001</c:v>
                </c:pt>
                <c:pt idx="43">
                  <c:v>89.24785</c:v>
                </c:pt>
                <c:pt idx="44">
                  <c:v>88.997799999999998</c:v>
                </c:pt>
                <c:pt idx="45">
                  <c:v>88.747749999999996</c:v>
                </c:pt>
                <c:pt idx="46">
                  <c:v>88.497699999999995</c:v>
                </c:pt>
                <c:pt idx="47">
                  <c:v>88.247649999999993</c:v>
                </c:pt>
                <c:pt idx="48">
                  <c:v>87.997600000000006</c:v>
                </c:pt>
                <c:pt idx="49">
                  <c:v>87.747550000000004</c:v>
                </c:pt>
                <c:pt idx="50">
                  <c:v>87.497500000000002</c:v>
                </c:pt>
                <c:pt idx="51">
                  <c:v>87.247450000000001</c:v>
                </c:pt>
                <c:pt idx="52">
                  <c:v>86.997399999999999</c:v>
                </c:pt>
                <c:pt idx="53">
                  <c:v>86.747349999999997</c:v>
                </c:pt>
                <c:pt idx="54">
                  <c:v>86.497299999999996</c:v>
                </c:pt>
                <c:pt idx="55">
                  <c:v>86.247250000000008</c:v>
                </c:pt>
                <c:pt idx="56">
                  <c:v>85.997199999999992</c:v>
                </c:pt>
                <c:pt idx="57">
                  <c:v>85.747150000000005</c:v>
                </c:pt>
                <c:pt idx="58">
                  <c:v>85.497100000000003</c:v>
                </c:pt>
                <c:pt idx="59">
                  <c:v>85.247050000000002</c:v>
                </c:pt>
                <c:pt idx="60">
                  <c:v>84.997</c:v>
                </c:pt>
                <c:pt idx="61">
                  <c:v>84.746949999999998</c:v>
                </c:pt>
                <c:pt idx="62">
                  <c:v>84.496899999999997</c:v>
                </c:pt>
                <c:pt idx="63">
                  <c:v>84.246849999999995</c:v>
                </c:pt>
                <c:pt idx="64">
                  <c:v>83.996800000000007</c:v>
                </c:pt>
                <c:pt idx="65">
                  <c:v>83.746750000000006</c:v>
                </c:pt>
                <c:pt idx="66">
                  <c:v>83.496700000000004</c:v>
                </c:pt>
                <c:pt idx="67">
                  <c:v>83.246650000000002</c:v>
                </c:pt>
                <c:pt idx="68">
                  <c:v>82.996600000000001</c:v>
                </c:pt>
                <c:pt idx="69">
                  <c:v>82.746549999999999</c:v>
                </c:pt>
                <c:pt idx="70">
                  <c:v>82.496499999999997</c:v>
                </c:pt>
                <c:pt idx="71">
                  <c:v>82.246449999999996</c:v>
                </c:pt>
                <c:pt idx="72">
                  <c:v>81.996399999999994</c:v>
                </c:pt>
                <c:pt idx="73">
                  <c:v>81.746350000000007</c:v>
                </c:pt>
                <c:pt idx="74">
                  <c:v>81.496299999999991</c:v>
                </c:pt>
                <c:pt idx="75">
                  <c:v>81.246250000000003</c:v>
                </c:pt>
                <c:pt idx="76">
                  <c:v>80.996200000000002</c:v>
                </c:pt>
                <c:pt idx="77">
                  <c:v>80.74615</c:v>
                </c:pt>
                <c:pt idx="78">
                  <c:v>80.496099999999998</c:v>
                </c:pt>
                <c:pt idx="79">
                  <c:v>80.246049999999997</c:v>
                </c:pt>
                <c:pt idx="80">
                  <c:v>79.995999999999995</c:v>
                </c:pt>
                <c:pt idx="81">
                  <c:v>79.745949999999993</c:v>
                </c:pt>
                <c:pt idx="82">
                  <c:v>79.495900000000006</c:v>
                </c:pt>
                <c:pt idx="83">
                  <c:v>79.245850000000004</c:v>
                </c:pt>
                <c:pt idx="84">
                  <c:v>78.995800000000003</c:v>
                </c:pt>
                <c:pt idx="85">
                  <c:v>78.745750000000001</c:v>
                </c:pt>
                <c:pt idx="86">
                  <c:v>78.495699999999999</c:v>
                </c:pt>
                <c:pt idx="87">
                  <c:v>78.245649999999998</c:v>
                </c:pt>
                <c:pt idx="88">
                  <c:v>77.995599999999996</c:v>
                </c:pt>
                <c:pt idx="89">
                  <c:v>77.745550000000009</c:v>
                </c:pt>
                <c:pt idx="90">
                  <c:v>77.495500000000007</c:v>
                </c:pt>
                <c:pt idx="91">
                  <c:v>77.245450000000005</c:v>
                </c:pt>
                <c:pt idx="92">
                  <c:v>76.995400000000004</c:v>
                </c:pt>
                <c:pt idx="93">
                  <c:v>76.745350000000002</c:v>
                </c:pt>
                <c:pt idx="94">
                  <c:v>76.4953</c:v>
                </c:pt>
                <c:pt idx="95">
                  <c:v>76.245249999999999</c:v>
                </c:pt>
                <c:pt idx="96">
                  <c:v>75.995199999999997</c:v>
                </c:pt>
                <c:pt idx="97">
                  <c:v>75.745149999999995</c:v>
                </c:pt>
                <c:pt idx="98">
                  <c:v>75.495100000000008</c:v>
                </c:pt>
                <c:pt idx="99">
                  <c:v>75.245049999999992</c:v>
                </c:pt>
                <c:pt idx="100">
                  <c:v>74.995000000000005</c:v>
                </c:pt>
                <c:pt idx="101">
                  <c:v>74.744950000000003</c:v>
                </c:pt>
                <c:pt idx="102">
                  <c:v>74.494900000000001</c:v>
                </c:pt>
                <c:pt idx="103">
                  <c:v>74.24485</c:v>
                </c:pt>
                <c:pt idx="104">
                  <c:v>73.994799999999998</c:v>
                </c:pt>
                <c:pt idx="105">
                  <c:v>73.744749999999996</c:v>
                </c:pt>
                <c:pt idx="106">
                  <c:v>73.494699999999995</c:v>
                </c:pt>
                <c:pt idx="107">
                  <c:v>73.244650000000007</c:v>
                </c:pt>
                <c:pt idx="108">
                  <c:v>72.994599999999991</c:v>
                </c:pt>
                <c:pt idx="109">
                  <c:v>72.744550000000004</c:v>
                </c:pt>
                <c:pt idx="110">
                  <c:v>72.494500000000002</c:v>
                </c:pt>
                <c:pt idx="111">
                  <c:v>72.244450000000001</c:v>
                </c:pt>
                <c:pt idx="112">
                  <c:v>71.994399999999999</c:v>
                </c:pt>
                <c:pt idx="113">
                  <c:v>71.744349999999997</c:v>
                </c:pt>
                <c:pt idx="114">
                  <c:v>71.494299999999996</c:v>
                </c:pt>
                <c:pt idx="115">
                  <c:v>71.244249999999994</c:v>
                </c:pt>
                <c:pt idx="116">
                  <c:v>70.994200000000006</c:v>
                </c:pt>
                <c:pt idx="117">
                  <c:v>70.744149999999991</c:v>
                </c:pt>
                <c:pt idx="118">
                  <c:v>70.494100000000003</c:v>
                </c:pt>
                <c:pt idx="119">
                  <c:v>70.244050000000001</c:v>
                </c:pt>
                <c:pt idx="120">
                  <c:v>69.994</c:v>
                </c:pt>
                <c:pt idx="121">
                  <c:v>69.743949999999998</c:v>
                </c:pt>
                <c:pt idx="122">
                  <c:v>69.493899999999996</c:v>
                </c:pt>
                <c:pt idx="123">
                  <c:v>69.243849999999995</c:v>
                </c:pt>
                <c:pt idx="124">
                  <c:v>68.993799999999993</c:v>
                </c:pt>
                <c:pt idx="125">
                  <c:v>68.743750000000006</c:v>
                </c:pt>
                <c:pt idx="126">
                  <c:v>68.493700000000004</c:v>
                </c:pt>
                <c:pt idx="127">
                  <c:v>68.243650000000002</c:v>
                </c:pt>
                <c:pt idx="128">
                  <c:v>67.993600000000001</c:v>
                </c:pt>
                <c:pt idx="129">
                  <c:v>67.743549999999999</c:v>
                </c:pt>
                <c:pt idx="130">
                  <c:v>67.493500000000012</c:v>
                </c:pt>
                <c:pt idx="131">
                  <c:v>67.243449999999996</c:v>
                </c:pt>
                <c:pt idx="132">
                  <c:v>66.993400000000008</c:v>
                </c:pt>
                <c:pt idx="133">
                  <c:v>66.743349999999992</c:v>
                </c:pt>
                <c:pt idx="134">
                  <c:v>66.493300000000005</c:v>
                </c:pt>
                <c:pt idx="135">
                  <c:v>66.243250000000003</c:v>
                </c:pt>
                <c:pt idx="136">
                  <c:v>65.993200000000002</c:v>
                </c:pt>
                <c:pt idx="137">
                  <c:v>65.74315</c:v>
                </c:pt>
                <c:pt idx="138">
                  <c:v>65.493099999999998</c:v>
                </c:pt>
                <c:pt idx="139">
                  <c:v>65.243050000000011</c:v>
                </c:pt>
                <c:pt idx="140">
                  <c:v>64.992999999999995</c:v>
                </c:pt>
                <c:pt idx="141">
                  <c:v>64.742950000000008</c:v>
                </c:pt>
                <c:pt idx="142">
                  <c:v>64.492899999999992</c:v>
                </c:pt>
                <c:pt idx="143">
                  <c:v>64.242850000000004</c:v>
                </c:pt>
                <c:pt idx="144">
                  <c:v>63.992800000000003</c:v>
                </c:pt>
                <c:pt idx="145">
                  <c:v>63.742750000000001</c:v>
                </c:pt>
                <c:pt idx="146">
                  <c:v>63.492699999999999</c:v>
                </c:pt>
                <c:pt idx="147">
                  <c:v>63.242650000000005</c:v>
                </c:pt>
                <c:pt idx="148">
                  <c:v>62.992599999999996</c:v>
                </c:pt>
                <c:pt idx="149">
                  <c:v>62.742550000000001</c:v>
                </c:pt>
                <c:pt idx="150">
                  <c:v>62.4925</c:v>
                </c:pt>
                <c:pt idx="151">
                  <c:v>62.242449999999998</c:v>
                </c:pt>
                <c:pt idx="152">
                  <c:v>61.992400000000004</c:v>
                </c:pt>
                <c:pt idx="153">
                  <c:v>61.742350000000002</c:v>
                </c:pt>
                <c:pt idx="154">
                  <c:v>61.4923</c:v>
                </c:pt>
                <c:pt idx="155">
                  <c:v>61.242249999999999</c:v>
                </c:pt>
                <c:pt idx="156">
                  <c:v>60.992200000000004</c:v>
                </c:pt>
                <c:pt idx="157">
                  <c:v>60.742150000000002</c:v>
                </c:pt>
                <c:pt idx="158">
                  <c:v>60.492099999999994</c:v>
                </c:pt>
                <c:pt idx="159">
                  <c:v>60.242049999999999</c:v>
                </c:pt>
                <c:pt idx="160">
                  <c:v>59.991999999999997</c:v>
                </c:pt>
                <c:pt idx="161">
                  <c:v>59.741950000000003</c:v>
                </c:pt>
                <c:pt idx="162">
                  <c:v>59.491900000000001</c:v>
                </c:pt>
                <c:pt idx="163">
                  <c:v>59.241850000000007</c:v>
                </c:pt>
                <c:pt idx="164">
                  <c:v>58.991799999999998</c:v>
                </c:pt>
                <c:pt idx="165">
                  <c:v>58.741749999999996</c:v>
                </c:pt>
                <c:pt idx="166">
                  <c:v>58.491700000000002</c:v>
                </c:pt>
                <c:pt idx="167">
                  <c:v>58.24165</c:v>
                </c:pt>
                <c:pt idx="168">
                  <c:v>57.991600000000005</c:v>
                </c:pt>
                <c:pt idx="169">
                  <c:v>57.741550000000004</c:v>
                </c:pt>
                <c:pt idx="170">
                  <c:v>57.491499999999995</c:v>
                </c:pt>
                <c:pt idx="171">
                  <c:v>57.24145</c:v>
                </c:pt>
                <c:pt idx="172">
                  <c:v>56.991399999999999</c:v>
                </c:pt>
                <c:pt idx="173">
                  <c:v>56.741350000000004</c:v>
                </c:pt>
                <c:pt idx="174">
                  <c:v>56.491300000000003</c:v>
                </c:pt>
                <c:pt idx="175">
                  <c:v>56.241249999999994</c:v>
                </c:pt>
                <c:pt idx="176">
                  <c:v>55.991199999999999</c:v>
                </c:pt>
                <c:pt idx="177">
                  <c:v>55.741149999999998</c:v>
                </c:pt>
                <c:pt idx="178">
                  <c:v>55.491100000000003</c:v>
                </c:pt>
                <c:pt idx="179">
                  <c:v>55.241050000000001</c:v>
                </c:pt>
                <c:pt idx="180">
                  <c:v>54.991000000000007</c:v>
                </c:pt>
                <c:pt idx="181">
                  <c:v>54.740949999999998</c:v>
                </c:pt>
                <c:pt idx="182">
                  <c:v>54.490899999999996</c:v>
                </c:pt>
                <c:pt idx="183">
                  <c:v>54.240850000000002</c:v>
                </c:pt>
                <c:pt idx="184">
                  <c:v>53.9908</c:v>
                </c:pt>
                <c:pt idx="185">
                  <c:v>53.740750000000006</c:v>
                </c:pt>
                <c:pt idx="186">
                  <c:v>53.490700000000004</c:v>
                </c:pt>
                <c:pt idx="187">
                  <c:v>53.240649999999995</c:v>
                </c:pt>
                <c:pt idx="188">
                  <c:v>52.990600000000001</c:v>
                </c:pt>
                <c:pt idx="189">
                  <c:v>52.740549999999999</c:v>
                </c:pt>
                <c:pt idx="190">
                  <c:v>52.490500000000004</c:v>
                </c:pt>
                <c:pt idx="191">
                  <c:v>52.240450000000003</c:v>
                </c:pt>
                <c:pt idx="192">
                  <c:v>51.990400000000001</c:v>
                </c:pt>
                <c:pt idx="193">
                  <c:v>51.740349999999999</c:v>
                </c:pt>
                <c:pt idx="194">
                  <c:v>51.490299999999998</c:v>
                </c:pt>
                <c:pt idx="195">
                  <c:v>51.240250000000003</c:v>
                </c:pt>
                <c:pt idx="196">
                  <c:v>50.990200000000002</c:v>
                </c:pt>
                <c:pt idx="197">
                  <c:v>50.74015</c:v>
                </c:pt>
                <c:pt idx="198">
                  <c:v>50.490099999999998</c:v>
                </c:pt>
                <c:pt idx="199">
                  <c:v>50.240049999999997</c:v>
                </c:pt>
                <c:pt idx="200">
                  <c:v>49.99</c:v>
                </c:pt>
                <c:pt idx="201">
                  <c:v>49.73995</c:v>
                </c:pt>
                <c:pt idx="202">
                  <c:v>49.489899999999999</c:v>
                </c:pt>
                <c:pt idx="203">
                  <c:v>49.239850000000004</c:v>
                </c:pt>
                <c:pt idx="204">
                  <c:v>48.989799999999995</c:v>
                </c:pt>
                <c:pt idx="205">
                  <c:v>48.739750000000001</c:v>
                </c:pt>
                <c:pt idx="206">
                  <c:v>48.489699999999999</c:v>
                </c:pt>
                <c:pt idx="207">
                  <c:v>48.239649999999997</c:v>
                </c:pt>
                <c:pt idx="208">
                  <c:v>47.989600000000003</c:v>
                </c:pt>
                <c:pt idx="209">
                  <c:v>47.739550000000001</c:v>
                </c:pt>
                <c:pt idx="210">
                  <c:v>47.4895</c:v>
                </c:pt>
                <c:pt idx="211">
                  <c:v>47.239449999999998</c:v>
                </c:pt>
                <c:pt idx="212">
                  <c:v>46.989399999999996</c:v>
                </c:pt>
                <c:pt idx="213">
                  <c:v>46.739350000000002</c:v>
                </c:pt>
                <c:pt idx="214">
                  <c:v>46.4893</c:v>
                </c:pt>
                <c:pt idx="215">
                  <c:v>46.239250000000006</c:v>
                </c:pt>
                <c:pt idx="216">
                  <c:v>45.989199999999997</c:v>
                </c:pt>
                <c:pt idx="217">
                  <c:v>45.739150000000002</c:v>
                </c:pt>
                <c:pt idx="218">
                  <c:v>45.489100000000001</c:v>
                </c:pt>
                <c:pt idx="219">
                  <c:v>45.239049999999999</c:v>
                </c:pt>
                <c:pt idx="220">
                  <c:v>44.989000000000004</c:v>
                </c:pt>
                <c:pt idx="221">
                  <c:v>44.738949999999996</c:v>
                </c:pt>
                <c:pt idx="222">
                  <c:v>44.488900000000001</c:v>
                </c:pt>
                <c:pt idx="223">
                  <c:v>44.238849999999999</c:v>
                </c:pt>
                <c:pt idx="224">
                  <c:v>43.988799999999998</c:v>
                </c:pt>
                <c:pt idx="225">
                  <c:v>43.738750000000003</c:v>
                </c:pt>
                <c:pt idx="226">
                  <c:v>43.488700000000001</c:v>
                </c:pt>
                <c:pt idx="227">
                  <c:v>43.23865</c:v>
                </c:pt>
                <c:pt idx="228">
                  <c:v>42.988599999999998</c:v>
                </c:pt>
                <c:pt idx="229">
                  <c:v>42.738549999999996</c:v>
                </c:pt>
                <c:pt idx="230">
                  <c:v>42.488500000000002</c:v>
                </c:pt>
                <c:pt idx="231">
                  <c:v>42.23845</c:v>
                </c:pt>
                <c:pt idx="232">
                  <c:v>41.988400000000006</c:v>
                </c:pt>
                <c:pt idx="233">
                  <c:v>41.738349999999997</c:v>
                </c:pt>
                <c:pt idx="234">
                  <c:v>41.488299999999995</c:v>
                </c:pt>
                <c:pt idx="235">
                  <c:v>41.238250000000001</c:v>
                </c:pt>
                <c:pt idx="236">
                  <c:v>40.988199999999999</c:v>
                </c:pt>
                <c:pt idx="237">
                  <c:v>40.738150000000005</c:v>
                </c:pt>
                <c:pt idx="238">
                  <c:v>40.488099999999996</c:v>
                </c:pt>
                <c:pt idx="239">
                  <c:v>40.238049999999994</c:v>
                </c:pt>
                <c:pt idx="240">
                  <c:v>39.988</c:v>
                </c:pt>
                <c:pt idx="241">
                  <c:v>39.737949999999998</c:v>
                </c:pt>
                <c:pt idx="242">
                  <c:v>39.487900000000003</c:v>
                </c:pt>
                <c:pt idx="243">
                  <c:v>39.237850000000002</c:v>
                </c:pt>
                <c:pt idx="244">
                  <c:v>38.987799999999993</c:v>
                </c:pt>
                <c:pt idx="245">
                  <c:v>38.737749999999998</c:v>
                </c:pt>
                <c:pt idx="246">
                  <c:v>38.487699999999997</c:v>
                </c:pt>
                <c:pt idx="247">
                  <c:v>38.237650000000002</c:v>
                </c:pt>
                <c:pt idx="248">
                  <c:v>37.9876</c:v>
                </c:pt>
                <c:pt idx="249">
                  <c:v>37.737550000000006</c:v>
                </c:pt>
                <c:pt idx="250">
                  <c:v>37.487499999999997</c:v>
                </c:pt>
              </c:numCache>
            </c:numRef>
          </c:yVal>
          <c:smooth val="1"/>
        </c:ser>
        <c:ser>
          <c:idx val="14"/>
          <c:order val="13"/>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hx!$T$5:$T$255</c:f>
              <c:numCache>
                <c:formatCode>0.00</c:formatCode>
                <c:ptCount val="251"/>
                <c:pt idx="0">
                  <c:v>110</c:v>
                </c:pt>
                <c:pt idx="1">
                  <c:v>109.74995</c:v>
                </c:pt>
                <c:pt idx="2">
                  <c:v>109.4999</c:v>
                </c:pt>
                <c:pt idx="3">
                  <c:v>109.24985</c:v>
                </c:pt>
                <c:pt idx="4">
                  <c:v>108.99979999999999</c:v>
                </c:pt>
                <c:pt idx="5">
                  <c:v>108.74975000000001</c:v>
                </c:pt>
                <c:pt idx="6">
                  <c:v>108.4997</c:v>
                </c:pt>
                <c:pt idx="7">
                  <c:v>108.24965</c:v>
                </c:pt>
                <c:pt idx="8">
                  <c:v>107.9996</c:v>
                </c:pt>
                <c:pt idx="9">
                  <c:v>107.74955</c:v>
                </c:pt>
                <c:pt idx="10">
                  <c:v>107.4995</c:v>
                </c:pt>
                <c:pt idx="11">
                  <c:v>107.24945</c:v>
                </c:pt>
                <c:pt idx="12">
                  <c:v>106.99939999999999</c:v>
                </c:pt>
                <c:pt idx="13">
                  <c:v>106.74935000000001</c:v>
                </c:pt>
                <c:pt idx="14">
                  <c:v>106.49930000000001</c:v>
                </c:pt>
                <c:pt idx="15">
                  <c:v>106.24925</c:v>
                </c:pt>
                <c:pt idx="16">
                  <c:v>105.9992</c:v>
                </c:pt>
                <c:pt idx="17">
                  <c:v>105.74915</c:v>
                </c:pt>
                <c:pt idx="18">
                  <c:v>105.4991</c:v>
                </c:pt>
                <c:pt idx="19">
                  <c:v>105.24905</c:v>
                </c:pt>
                <c:pt idx="20">
                  <c:v>104.999</c:v>
                </c:pt>
                <c:pt idx="21">
                  <c:v>104.74895000000001</c:v>
                </c:pt>
                <c:pt idx="22">
                  <c:v>104.49890000000001</c:v>
                </c:pt>
                <c:pt idx="23">
                  <c:v>104.24885</c:v>
                </c:pt>
                <c:pt idx="24">
                  <c:v>103.9988</c:v>
                </c:pt>
                <c:pt idx="25">
                  <c:v>103.74875</c:v>
                </c:pt>
                <c:pt idx="26">
                  <c:v>103.4987</c:v>
                </c:pt>
                <c:pt idx="27">
                  <c:v>103.24865</c:v>
                </c:pt>
                <c:pt idx="28">
                  <c:v>102.9986</c:v>
                </c:pt>
                <c:pt idx="29">
                  <c:v>102.74854999999999</c:v>
                </c:pt>
                <c:pt idx="30">
                  <c:v>102.49850000000001</c:v>
                </c:pt>
                <c:pt idx="31">
                  <c:v>102.24845000000001</c:v>
                </c:pt>
                <c:pt idx="32">
                  <c:v>101.9984</c:v>
                </c:pt>
                <c:pt idx="33">
                  <c:v>101.74835</c:v>
                </c:pt>
                <c:pt idx="34">
                  <c:v>101.4983</c:v>
                </c:pt>
                <c:pt idx="35">
                  <c:v>101.24825</c:v>
                </c:pt>
                <c:pt idx="36">
                  <c:v>100.9982</c:v>
                </c:pt>
                <c:pt idx="37">
                  <c:v>100.74815</c:v>
                </c:pt>
                <c:pt idx="38">
                  <c:v>100.49809999999999</c:v>
                </c:pt>
                <c:pt idx="39">
                  <c:v>100.24805000000001</c:v>
                </c:pt>
                <c:pt idx="40">
                  <c:v>99.998000000000005</c:v>
                </c:pt>
                <c:pt idx="41">
                  <c:v>99.747950000000003</c:v>
                </c:pt>
                <c:pt idx="42">
                  <c:v>99.497900000000001</c:v>
                </c:pt>
                <c:pt idx="43">
                  <c:v>99.24785</c:v>
                </c:pt>
                <c:pt idx="44">
                  <c:v>98.997799999999998</c:v>
                </c:pt>
                <c:pt idx="45">
                  <c:v>98.747749999999996</c:v>
                </c:pt>
                <c:pt idx="46">
                  <c:v>98.497699999999995</c:v>
                </c:pt>
                <c:pt idx="47">
                  <c:v>98.247649999999993</c:v>
                </c:pt>
                <c:pt idx="48">
                  <c:v>97.997600000000006</c:v>
                </c:pt>
                <c:pt idx="49">
                  <c:v>97.747550000000004</c:v>
                </c:pt>
                <c:pt idx="50">
                  <c:v>97.497500000000002</c:v>
                </c:pt>
                <c:pt idx="51">
                  <c:v>97.247450000000001</c:v>
                </c:pt>
                <c:pt idx="52">
                  <c:v>96.997399999999999</c:v>
                </c:pt>
                <c:pt idx="53">
                  <c:v>96.747349999999997</c:v>
                </c:pt>
                <c:pt idx="54">
                  <c:v>96.497299999999996</c:v>
                </c:pt>
                <c:pt idx="55">
                  <c:v>96.247250000000008</c:v>
                </c:pt>
                <c:pt idx="56">
                  <c:v>95.997199999999992</c:v>
                </c:pt>
                <c:pt idx="57">
                  <c:v>95.747150000000005</c:v>
                </c:pt>
                <c:pt idx="58">
                  <c:v>95.497100000000003</c:v>
                </c:pt>
                <c:pt idx="59">
                  <c:v>95.247050000000002</c:v>
                </c:pt>
                <c:pt idx="60">
                  <c:v>94.997</c:v>
                </c:pt>
                <c:pt idx="61">
                  <c:v>94.746949999999998</c:v>
                </c:pt>
                <c:pt idx="62">
                  <c:v>94.496899999999997</c:v>
                </c:pt>
                <c:pt idx="63">
                  <c:v>94.246849999999995</c:v>
                </c:pt>
                <c:pt idx="64">
                  <c:v>93.996800000000007</c:v>
                </c:pt>
                <c:pt idx="65">
                  <c:v>93.746750000000006</c:v>
                </c:pt>
                <c:pt idx="66">
                  <c:v>93.496700000000004</c:v>
                </c:pt>
                <c:pt idx="67">
                  <c:v>93.246650000000002</c:v>
                </c:pt>
                <c:pt idx="68">
                  <c:v>92.996600000000001</c:v>
                </c:pt>
                <c:pt idx="69">
                  <c:v>92.746549999999999</c:v>
                </c:pt>
                <c:pt idx="70">
                  <c:v>92.496499999999997</c:v>
                </c:pt>
                <c:pt idx="71">
                  <c:v>92.246449999999996</c:v>
                </c:pt>
                <c:pt idx="72">
                  <c:v>91.996399999999994</c:v>
                </c:pt>
                <c:pt idx="73">
                  <c:v>91.746350000000007</c:v>
                </c:pt>
                <c:pt idx="74">
                  <c:v>91.496299999999991</c:v>
                </c:pt>
                <c:pt idx="75">
                  <c:v>91.246250000000003</c:v>
                </c:pt>
                <c:pt idx="76">
                  <c:v>90.996200000000002</c:v>
                </c:pt>
                <c:pt idx="77">
                  <c:v>90.74615</c:v>
                </c:pt>
                <c:pt idx="78">
                  <c:v>90.496099999999998</c:v>
                </c:pt>
                <c:pt idx="79">
                  <c:v>90.246049999999997</c:v>
                </c:pt>
                <c:pt idx="80">
                  <c:v>89.995999999999995</c:v>
                </c:pt>
                <c:pt idx="81">
                  <c:v>89.745949999999993</c:v>
                </c:pt>
                <c:pt idx="82">
                  <c:v>89.495900000000006</c:v>
                </c:pt>
                <c:pt idx="83">
                  <c:v>89.245850000000004</c:v>
                </c:pt>
                <c:pt idx="84">
                  <c:v>88.995800000000003</c:v>
                </c:pt>
                <c:pt idx="85">
                  <c:v>88.745750000000001</c:v>
                </c:pt>
                <c:pt idx="86">
                  <c:v>88.495699999999999</c:v>
                </c:pt>
                <c:pt idx="87">
                  <c:v>88.245649999999998</c:v>
                </c:pt>
                <c:pt idx="88">
                  <c:v>87.995599999999996</c:v>
                </c:pt>
                <c:pt idx="89">
                  <c:v>87.745550000000009</c:v>
                </c:pt>
                <c:pt idx="90">
                  <c:v>87.495500000000007</c:v>
                </c:pt>
                <c:pt idx="91">
                  <c:v>87.245450000000005</c:v>
                </c:pt>
                <c:pt idx="92">
                  <c:v>86.995400000000004</c:v>
                </c:pt>
                <c:pt idx="93">
                  <c:v>86.745350000000002</c:v>
                </c:pt>
                <c:pt idx="94">
                  <c:v>86.4953</c:v>
                </c:pt>
                <c:pt idx="95">
                  <c:v>86.245249999999999</c:v>
                </c:pt>
                <c:pt idx="96">
                  <c:v>85.995199999999997</c:v>
                </c:pt>
                <c:pt idx="97">
                  <c:v>85.745149999999995</c:v>
                </c:pt>
                <c:pt idx="98">
                  <c:v>85.495100000000008</c:v>
                </c:pt>
                <c:pt idx="99">
                  <c:v>85.245049999999992</c:v>
                </c:pt>
                <c:pt idx="100">
                  <c:v>84.995000000000005</c:v>
                </c:pt>
                <c:pt idx="101">
                  <c:v>84.744950000000003</c:v>
                </c:pt>
                <c:pt idx="102">
                  <c:v>84.494900000000001</c:v>
                </c:pt>
                <c:pt idx="103">
                  <c:v>84.24485</c:v>
                </c:pt>
                <c:pt idx="104">
                  <c:v>83.994799999999998</c:v>
                </c:pt>
                <c:pt idx="105">
                  <c:v>83.744749999999996</c:v>
                </c:pt>
                <c:pt idx="106">
                  <c:v>83.494699999999995</c:v>
                </c:pt>
                <c:pt idx="107">
                  <c:v>83.244650000000007</c:v>
                </c:pt>
                <c:pt idx="108">
                  <c:v>82.994599999999991</c:v>
                </c:pt>
                <c:pt idx="109">
                  <c:v>82.744550000000004</c:v>
                </c:pt>
                <c:pt idx="110">
                  <c:v>82.494500000000002</c:v>
                </c:pt>
                <c:pt idx="111">
                  <c:v>82.244450000000001</c:v>
                </c:pt>
                <c:pt idx="112">
                  <c:v>81.994399999999999</c:v>
                </c:pt>
                <c:pt idx="113">
                  <c:v>81.744349999999997</c:v>
                </c:pt>
                <c:pt idx="114">
                  <c:v>81.494299999999996</c:v>
                </c:pt>
                <c:pt idx="115">
                  <c:v>81.244249999999994</c:v>
                </c:pt>
                <c:pt idx="116">
                  <c:v>80.994200000000006</c:v>
                </c:pt>
                <c:pt idx="117">
                  <c:v>80.744149999999991</c:v>
                </c:pt>
                <c:pt idx="118">
                  <c:v>80.494100000000003</c:v>
                </c:pt>
                <c:pt idx="119">
                  <c:v>80.244050000000001</c:v>
                </c:pt>
                <c:pt idx="120">
                  <c:v>79.994</c:v>
                </c:pt>
                <c:pt idx="121">
                  <c:v>79.743949999999998</c:v>
                </c:pt>
                <c:pt idx="122">
                  <c:v>79.493899999999996</c:v>
                </c:pt>
                <c:pt idx="123">
                  <c:v>79.243849999999995</c:v>
                </c:pt>
                <c:pt idx="124">
                  <c:v>78.993799999999993</c:v>
                </c:pt>
                <c:pt idx="125">
                  <c:v>78.743750000000006</c:v>
                </c:pt>
                <c:pt idx="126">
                  <c:v>78.493700000000004</c:v>
                </c:pt>
                <c:pt idx="127">
                  <c:v>78.243650000000002</c:v>
                </c:pt>
                <c:pt idx="128">
                  <c:v>77.993600000000001</c:v>
                </c:pt>
                <c:pt idx="129">
                  <c:v>77.743549999999999</c:v>
                </c:pt>
                <c:pt idx="130">
                  <c:v>77.493500000000012</c:v>
                </c:pt>
                <c:pt idx="131">
                  <c:v>77.243449999999996</c:v>
                </c:pt>
                <c:pt idx="132">
                  <c:v>76.993400000000008</c:v>
                </c:pt>
                <c:pt idx="133">
                  <c:v>76.743349999999992</c:v>
                </c:pt>
                <c:pt idx="134">
                  <c:v>76.493300000000005</c:v>
                </c:pt>
                <c:pt idx="135">
                  <c:v>76.243250000000003</c:v>
                </c:pt>
                <c:pt idx="136">
                  <c:v>75.993200000000002</c:v>
                </c:pt>
                <c:pt idx="137">
                  <c:v>75.74315</c:v>
                </c:pt>
                <c:pt idx="138">
                  <c:v>75.493099999999998</c:v>
                </c:pt>
                <c:pt idx="139">
                  <c:v>75.243050000000011</c:v>
                </c:pt>
                <c:pt idx="140">
                  <c:v>74.992999999999995</c:v>
                </c:pt>
                <c:pt idx="141">
                  <c:v>74.742950000000008</c:v>
                </c:pt>
                <c:pt idx="142">
                  <c:v>74.492899999999992</c:v>
                </c:pt>
                <c:pt idx="143">
                  <c:v>74.242850000000004</c:v>
                </c:pt>
                <c:pt idx="144">
                  <c:v>73.992800000000003</c:v>
                </c:pt>
                <c:pt idx="145">
                  <c:v>73.742750000000001</c:v>
                </c:pt>
                <c:pt idx="146">
                  <c:v>73.492699999999999</c:v>
                </c:pt>
                <c:pt idx="147">
                  <c:v>73.242649999999998</c:v>
                </c:pt>
                <c:pt idx="148">
                  <c:v>72.992599999999996</c:v>
                </c:pt>
                <c:pt idx="149">
                  <c:v>72.742549999999994</c:v>
                </c:pt>
                <c:pt idx="150">
                  <c:v>72.492500000000007</c:v>
                </c:pt>
                <c:pt idx="151">
                  <c:v>72.242449999999991</c:v>
                </c:pt>
                <c:pt idx="152">
                  <c:v>71.992400000000004</c:v>
                </c:pt>
                <c:pt idx="153">
                  <c:v>71.742350000000002</c:v>
                </c:pt>
                <c:pt idx="154">
                  <c:v>71.4923</c:v>
                </c:pt>
                <c:pt idx="155">
                  <c:v>71.242249999999999</c:v>
                </c:pt>
                <c:pt idx="156">
                  <c:v>70.992199999999997</c:v>
                </c:pt>
                <c:pt idx="157">
                  <c:v>70.742150000000009</c:v>
                </c:pt>
                <c:pt idx="158">
                  <c:v>70.492099999999994</c:v>
                </c:pt>
                <c:pt idx="159">
                  <c:v>70.242050000000006</c:v>
                </c:pt>
                <c:pt idx="160">
                  <c:v>69.99199999999999</c:v>
                </c:pt>
                <c:pt idx="161">
                  <c:v>69.741950000000003</c:v>
                </c:pt>
                <c:pt idx="162">
                  <c:v>69.491900000000001</c:v>
                </c:pt>
                <c:pt idx="163">
                  <c:v>69.241849999999999</c:v>
                </c:pt>
                <c:pt idx="164">
                  <c:v>68.991799999999998</c:v>
                </c:pt>
                <c:pt idx="165">
                  <c:v>68.741749999999996</c:v>
                </c:pt>
                <c:pt idx="166">
                  <c:v>68.491700000000009</c:v>
                </c:pt>
                <c:pt idx="167">
                  <c:v>68.241649999999993</c:v>
                </c:pt>
                <c:pt idx="168">
                  <c:v>67.991600000000005</c:v>
                </c:pt>
                <c:pt idx="169">
                  <c:v>67.741550000000004</c:v>
                </c:pt>
                <c:pt idx="170">
                  <c:v>67.491500000000002</c:v>
                </c:pt>
                <c:pt idx="171">
                  <c:v>67.24145</c:v>
                </c:pt>
                <c:pt idx="172">
                  <c:v>66.991399999999999</c:v>
                </c:pt>
                <c:pt idx="173">
                  <c:v>66.741350000000011</c:v>
                </c:pt>
                <c:pt idx="174">
                  <c:v>66.491299999999995</c:v>
                </c:pt>
                <c:pt idx="175">
                  <c:v>66.241249999999994</c:v>
                </c:pt>
                <c:pt idx="176">
                  <c:v>65.991199999999992</c:v>
                </c:pt>
                <c:pt idx="177">
                  <c:v>65.741150000000005</c:v>
                </c:pt>
                <c:pt idx="178">
                  <c:v>65.491100000000003</c:v>
                </c:pt>
                <c:pt idx="179">
                  <c:v>65.241050000000001</c:v>
                </c:pt>
                <c:pt idx="180">
                  <c:v>64.991000000000014</c:v>
                </c:pt>
                <c:pt idx="181">
                  <c:v>64.740949999999998</c:v>
                </c:pt>
                <c:pt idx="182">
                  <c:v>64.490899999999996</c:v>
                </c:pt>
                <c:pt idx="183">
                  <c:v>64.240849999999995</c:v>
                </c:pt>
                <c:pt idx="184">
                  <c:v>63.9908</c:v>
                </c:pt>
                <c:pt idx="185">
                  <c:v>63.740750000000006</c:v>
                </c:pt>
                <c:pt idx="186">
                  <c:v>63.490700000000004</c:v>
                </c:pt>
                <c:pt idx="187">
                  <c:v>63.240649999999995</c:v>
                </c:pt>
                <c:pt idx="188">
                  <c:v>62.990600000000001</c:v>
                </c:pt>
                <c:pt idx="189">
                  <c:v>62.740549999999999</c:v>
                </c:pt>
                <c:pt idx="190">
                  <c:v>62.490500000000004</c:v>
                </c:pt>
                <c:pt idx="191">
                  <c:v>62.240450000000003</c:v>
                </c:pt>
                <c:pt idx="192">
                  <c:v>61.990400000000001</c:v>
                </c:pt>
                <c:pt idx="193">
                  <c:v>61.740349999999999</c:v>
                </c:pt>
                <c:pt idx="194">
                  <c:v>61.490299999999998</c:v>
                </c:pt>
                <c:pt idx="195">
                  <c:v>61.240250000000003</c:v>
                </c:pt>
                <c:pt idx="196">
                  <c:v>60.990200000000002</c:v>
                </c:pt>
                <c:pt idx="197">
                  <c:v>60.74015</c:v>
                </c:pt>
                <c:pt idx="198">
                  <c:v>60.490099999999998</c:v>
                </c:pt>
                <c:pt idx="199">
                  <c:v>60.240049999999997</c:v>
                </c:pt>
                <c:pt idx="200">
                  <c:v>59.99</c:v>
                </c:pt>
                <c:pt idx="201">
                  <c:v>59.73995</c:v>
                </c:pt>
                <c:pt idx="202">
                  <c:v>59.489899999999999</c:v>
                </c:pt>
                <c:pt idx="203">
                  <c:v>59.239850000000004</c:v>
                </c:pt>
                <c:pt idx="204">
                  <c:v>58.989799999999995</c:v>
                </c:pt>
                <c:pt idx="205">
                  <c:v>58.739750000000001</c:v>
                </c:pt>
                <c:pt idx="206">
                  <c:v>58.489699999999999</c:v>
                </c:pt>
                <c:pt idx="207">
                  <c:v>58.239649999999997</c:v>
                </c:pt>
                <c:pt idx="208">
                  <c:v>57.989600000000003</c:v>
                </c:pt>
                <c:pt idx="209">
                  <c:v>57.739550000000001</c:v>
                </c:pt>
                <c:pt idx="210">
                  <c:v>57.4895</c:v>
                </c:pt>
                <c:pt idx="211">
                  <c:v>57.239449999999998</c:v>
                </c:pt>
                <c:pt idx="212">
                  <c:v>56.989399999999996</c:v>
                </c:pt>
                <c:pt idx="213">
                  <c:v>56.739350000000002</c:v>
                </c:pt>
                <c:pt idx="214">
                  <c:v>56.4893</c:v>
                </c:pt>
                <c:pt idx="215">
                  <c:v>56.239250000000006</c:v>
                </c:pt>
                <c:pt idx="216">
                  <c:v>55.989199999999997</c:v>
                </c:pt>
                <c:pt idx="217">
                  <c:v>55.739150000000002</c:v>
                </c:pt>
                <c:pt idx="218">
                  <c:v>55.489100000000001</c:v>
                </c:pt>
                <c:pt idx="219">
                  <c:v>55.239049999999999</c:v>
                </c:pt>
                <c:pt idx="220">
                  <c:v>54.989000000000004</c:v>
                </c:pt>
                <c:pt idx="221">
                  <c:v>54.738949999999996</c:v>
                </c:pt>
                <c:pt idx="222">
                  <c:v>54.488900000000001</c:v>
                </c:pt>
                <c:pt idx="223">
                  <c:v>54.238849999999999</c:v>
                </c:pt>
                <c:pt idx="224">
                  <c:v>53.988799999999998</c:v>
                </c:pt>
                <c:pt idx="225">
                  <c:v>53.738750000000003</c:v>
                </c:pt>
                <c:pt idx="226">
                  <c:v>53.488700000000001</c:v>
                </c:pt>
                <c:pt idx="227">
                  <c:v>53.23865</c:v>
                </c:pt>
                <c:pt idx="228">
                  <c:v>52.988599999999998</c:v>
                </c:pt>
                <c:pt idx="229">
                  <c:v>52.738549999999996</c:v>
                </c:pt>
                <c:pt idx="230">
                  <c:v>52.488500000000002</c:v>
                </c:pt>
                <c:pt idx="231">
                  <c:v>52.23845</c:v>
                </c:pt>
                <c:pt idx="232">
                  <c:v>51.988400000000006</c:v>
                </c:pt>
                <c:pt idx="233">
                  <c:v>51.738349999999997</c:v>
                </c:pt>
                <c:pt idx="234">
                  <c:v>51.488299999999995</c:v>
                </c:pt>
                <c:pt idx="235">
                  <c:v>51.238250000000001</c:v>
                </c:pt>
                <c:pt idx="236">
                  <c:v>50.988199999999999</c:v>
                </c:pt>
                <c:pt idx="237">
                  <c:v>50.738150000000005</c:v>
                </c:pt>
                <c:pt idx="238">
                  <c:v>50.488099999999996</c:v>
                </c:pt>
                <c:pt idx="239">
                  <c:v>50.238049999999994</c:v>
                </c:pt>
                <c:pt idx="240">
                  <c:v>49.988</c:v>
                </c:pt>
                <c:pt idx="241">
                  <c:v>49.737949999999998</c:v>
                </c:pt>
                <c:pt idx="242">
                  <c:v>49.487900000000003</c:v>
                </c:pt>
                <c:pt idx="243">
                  <c:v>49.237850000000002</c:v>
                </c:pt>
                <c:pt idx="244">
                  <c:v>48.987799999999993</c:v>
                </c:pt>
                <c:pt idx="245">
                  <c:v>48.737749999999998</c:v>
                </c:pt>
                <c:pt idx="246">
                  <c:v>48.487699999999997</c:v>
                </c:pt>
                <c:pt idx="247">
                  <c:v>48.237650000000002</c:v>
                </c:pt>
                <c:pt idx="248">
                  <c:v>47.9876</c:v>
                </c:pt>
                <c:pt idx="249">
                  <c:v>47.737550000000006</c:v>
                </c:pt>
                <c:pt idx="250">
                  <c:v>47.487499999999997</c:v>
                </c:pt>
              </c:numCache>
            </c:numRef>
          </c:yVal>
          <c:smooth val="1"/>
        </c:ser>
        <c:ser>
          <c:idx val="15"/>
          <c:order val="14"/>
          <c:spPr>
            <a:ln w="12700">
              <a:solidFill>
                <a:srgbClr val="0070C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hx!$U$5:$U$255</c:f>
              <c:numCache>
                <c:formatCode>0.00</c:formatCode>
                <c:ptCount val="251"/>
                <c:pt idx="0">
                  <c:v>120</c:v>
                </c:pt>
                <c:pt idx="1">
                  <c:v>119.74995</c:v>
                </c:pt>
                <c:pt idx="2">
                  <c:v>119.4999</c:v>
                </c:pt>
                <c:pt idx="3">
                  <c:v>119.24985</c:v>
                </c:pt>
                <c:pt idx="4">
                  <c:v>118.99979999999999</c:v>
                </c:pt>
                <c:pt idx="5">
                  <c:v>118.74975000000001</c:v>
                </c:pt>
                <c:pt idx="6">
                  <c:v>118.4997</c:v>
                </c:pt>
                <c:pt idx="7">
                  <c:v>118.24965</c:v>
                </c:pt>
                <c:pt idx="8">
                  <c:v>117.9996</c:v>
                </c:pt>
                <c:pt idx="9">
                  <c:v>117.74955</c:v>
                </c:pt>
                <c:pt idx="10">
                  <c:v>117.4995</c:v>
                </c:pt>
                <c:pt idx="11">
                  <c:v>117.24945</c:v>
                </c:pt>
                <c:pt idx="12">
                  <c:v>116.99939999999999</c:v>
                </c:pt>
                <c:pt idx="13">
                  <c:v>116.74935000000001</c:v>
                </c:pt>
                <c:pt idx="14">
                  <c:v>116.49930000000001</c:v>
                </c:pt>
                <c:pt idx="15">
                  <c:v>116.24925</c:v>
                </c:pt>
                <c:pt idx="16">
                  <c:v>115.9992</c:v>
                </c:pt>
                <c:pt idx="17">
                  <c:v>115.74915</c:v>
                </c:pt>
                <c:pt idx="18">
                  <c:v>115.4991</c:v>
                </c:pt>
                <c:pt idx="19">
                  <c:v>115.24905</c:v>
                </c:pt>
                <c:pt idx="20">
                  <c:v>114.999</c:v>
                </c:pt>
                <c:pt idx="21">
                  <c:v>114.74895000000001</c:v>
                </c:pt>
                <c:pt idx="22">
                  <c:v>114.49890000000001</c:v>
                </c:pt>
                <c:pt idx="23">
                  <c:v>114.24885</c:v>
                </c:pt>
                <c:pt idx="24">
                  <c:v>113.9988</c:v>
                </c:pt>
                <c:pt idx="25">
                  <c:v>113.74875</c:v>
                </c:pt>
                <c:pt idx="26">
                  <c:v>113.4987</c:v>
                </c:pt>
                <c:pt idx="27">
                  <c:v>113.24865</c:v>
                </c:pt>
                <c:pt idx="28">
                  <c:v>112.9986</c:v>
                </c:pt>
                <c:pt idx="29">
                  <c:v>112.74854999999999</c:v>
                </c:pt>
                <c:pt idx="30">
                  <c:v>112.49850000000001</c:v>
                </c:pt>
                <c:pt idx="31">
                  <c:v>112.24845000000001</c:v>
                </c:pt>
                <c:pt idx="32">
                  <c:v>111.9984</c:v>
                </c:pt>
                <c:pt idx="33">
                  <c:v>111.74835</c:v>
                </c:pt>
                <c:pt idx="34">
                  <c:v>111.4983</c:v>
                </c:pt>
                <c:pt idx="35">
                  <c:v>111.24825</c:v>
                </c:pt>
                <c:pt idx="36">
                  <c:v>110.9982</c:v>
                </c:pt>
                <c:pt idx="37">
                  <c:v>110.74815</c:v>
                </c:pt>
                <c:pt idx="38">
                  <c:v>110.49809999999999</c:v>
                </c:pt>
                <c:pt idx="39">
                  <c:v>110.24805000000001</c:v>
                </c:pt>
                <c:pt idx="40">
                  <c:v>109.998</c:v>
                </c:pt>
                <c:pt idx="41">
                  <c:v>109.74795</c:v>
                </c:pt>
                <c:pt idx="42">
                  <c:v>109.4979</c:v>
                </c:pt>
                <c:pt idx="43">
                  <c:v>109.24785</c:v>
                </c:pt>
                <c:pt idx="44">
                  <c:v>108.9978</c:v>
                </c:pt>
                <c:pt idx="45">
                  <c:v>108.74775</c:v>
                </c:pt>
                <c:pt idx="46">
                  <c:v>108.49769999999999</c:v>
                </c:pt>
                <c:pt idx="47">
                  <c:v>108.24764999999999</c:v>
                </c:pt>
                <c:pt idx="48">
                  <c:v>107.99760000000001</c:v>
                </c:pt>
                <c:pt idx="49">
                  <c:v>107.74755</c:v>
                </c:pt>
                <c:pt idx="50">
                  <c:v>107.4975</c:v>
                </c:pt>
                <c:pt idx="51">
                  <c:v>107.24745</c:v>
                </c:pt>
                <c:pt idx="52">
                  <c:v>106.9974</c:v>
                </c:pt>
                <c:pt idx="53">
                  <c:v>106.74735</c:v>
                </c:pt>
                <c:pt idx="54">
                  <c:v>106.4973</c:v>
                </c:pt>
                <c:pt idx="55">
                  <c:v>106.24725000000001</c:v>
                </c:pt>
                <c:pt idx="56">
                  <c:v>105.99719999999999</c:v>
                </c:pt>
                <c:pt idx="57">
                  <c:v>105.74715</c:v>
                </c:pt>
                <c:pt idx="58">
                  <c:v>105.4971</c:v>
                </c:pt>
                <c:pt idx="59">
                  <c:v>105.24705</c:v>
                </c:pt>
                <c:pt idx="60">
                  <c:v>104.997</c:v>
                </c:pt>
                <c:pt idx="61">
                  <c:v>104.74695</c:v>
                </c:pt>
                <c:pt idx="62">
                  <c:v>104.4969</c:v>
                </c:pt>
                <c:pt idx="63">
                  <c:v>104.24684999999999</c:v>
                </c:pt>
                <c:pt idx="64">
                  <c:v>103.99680000000001</c:v>
                </c:pt>
                <c:pt idx="65">
                  <c:v>103.74675000000001</c:v>
                </c:pt>
                <c:pt idx="66">
                  <c:v>103.4967</c:v>
                </c:pt>
                <c:pt idx="67">
                  <c:v>103.24665</c:v>
                </c:pt>
                <c:pt idx="68">
                  <c:v>102.9966</c:v>
                </c:pt>
                <c:pt idx="69">
                  <c:v>102.74655</c:v>
                </c:pt>
                <c:pt idx="70">
                  <c:v>102.4965</c:v>
                </c:pt>
                <c:pt idx="71">
                  <c:v>102.24645</c:v>
                </c:pt>
                <c:pt idx="72">
                  <c:v>101.99639999999999</c:v>
                </c:pt>
                <c:pt idx="73">
                  <c:v>101.74635000000001</c:v>
                </c:pt>
                <c:pt idx="74">
                  <c:v>101.49629999999999</c:v>
                </c:pt>
                <c:pt idx="75">
                  <c:v>101.24625</c:v>
                </c:pt>
                <c:pt idx="76">
                  <c:v>100.9962</c:v>
                </c:pt>
                <c:pt idx="77">
                  <c:v>100.74615</c:v>
                </c:pt>
                <c:pt idx="78">
                  <c:v>100.4961</c:v>
                </c:pt>
                <c:pt idx="79">
                  <c:v>100.24605</c:v>
                </c:pt>
                <c:pt idx="80">
                  <c:v>99.995999999999995</c:v>
                </c:pt>
                <c:pt idx="81">
                  <c:v>99.745949999999993</c:v>
                </c:pt>
                <c:pt idx="82">
                  <c:v>99.495900000000006</c:v>
                </c:pt>
                <c:pt idx="83">
                  <c:v>99.245850000000004</c:v>
                </c:pt>
                <c:pt idx="84">
                  <c:v>98.995800000000003</c:v>
                </c:pt>
                <c:pt idx="85">
                  <c:v>98.745750000000001</c:v>
                </c:pt>
                <c:pt idx="86">
                  <c:v>98.495699999999999</c:v>
                </c:pt>
                <c:pt idx="87">
                  <c:v>98.245649999999998</c:v>
                </c:pt>
                <c:pt idx="88">
                  <c:v>97.995599999999996</c:v>
                </c:pt>
                <c:pt idx="89">
                  <c:v>97.745550000000009</c:v>
                </c:pt>
                <c:pt idx="90">
                  <c:v>97.495500000000007</c:v>
                </c:pt>
                <c:pt idx="91">
                  <c:v>97.245450000000005</c:v>
                </c:pt>
                <c:pt idx="92">
                  <c:v>96.995400000000004</c:v>
                </c:pt>
                <c:pt idx="93">
                  <c:v>96.745350000000002</c:v>
                </c:pt>
                <c:pt idx="94">
                  <c:v>96.4953</c:v>
                </c:pt>
                <c:pt idx="95">
                  <c:v>96.245249999999999</c:v>
                </c:pt>
                <c:pt idx="96">
                  <c:v>95.995199999999997</c:v>
                </c:pt>
                <c:pt idx="97">
                  <c:v>95.745149999999995</c:v>
                </c:pt>
                <c:pt idx="98">
                  <c:v>95.495100000000008</c:v>
                </c:pt>
                <c:pt idx="99">
                  <c:v>95.245049999999992</c:v>
                </c:pt>
                <c:pt idx="100">
                  <c:v>94.995000000000005</c:v>
                </c:pt>
                <c:pt idx="101">
                  <c:v>94.744950000000003</c:v>
                </c:pt>
                <c:pt idx="102">
                  <c:v>94.494900000000001</c:v>
                </c:pt>
                <c:pt idx="103">
                  <c:v>94.24485</c:v>
                </c:pt>
                <c:pt idx="104">
                  <c:v>93.994799999999998</c:v>
                </c:pt>
                <c:pt idx="105">
                  <c:v>93.744749999999996</c:v>
                </c:pt>
                <c:pt idx="106">
                  <c:v>93.494699999999995</c:v>
                </c:pt>
                <c:pt idx="107">
                  <c:v>93.244650000000007</c:v>
                </c:pt>
                <c:pt idx="108">
                  <c:v>92.994599999999991</c:v>
                </c:pt>
                <c:pt idx="109">
                  <c:v>92.744550000000004</c:v>
                </c:pt>
                <c:pt idx="110">
                  <c:v>92.494500000000002</c:v>
                </c:pt>
                <c:pt idx="111">
                  <c:v>92.244450000000001</c:v>
                </c:pt>
                <c:pt idx="112">
                  <c:v>91.994399999999999</c:v>
                </c:pt>
                <c:pt idx="113">
                  <c:v>91.744349999999997</c:v>
                </c:pt>
                <c:pt idx="114">
                  <c:v>91.494299999999996</c:v>
                </c:pt>
                <c:pt idx="115">
                  <c:v>91.244249999999994</c:v>
                </c:pt>
                <c:pt idx="116">
                  <c:v>90.994200000000006</c:v>
                </c:pt>
                <c:pt idx="117">
                  <c:v>90.744149999999991</c:v>
                </c:pt>
                <c:pt idx="118">
                  <c:v>90.494100000000003</c:v>
                </c:pt>
                <c:pt idx="119">
                  <c:v>90.244050000000001</c:v>
                </c:pt>
                <c:pt idx="120">
                  <c:v>89.994</c:v>
                </c:pt>
                <c:pt idx="121">
                  <c:v>89.743949999999998</c:v>
                </c:pt>
                <c:pt idx="122">
                  <c:v>89.493899999999996</c:v>
                </c:pt>
                <c:pt idx="123">
                  <c:v>89.243849999999995</c:v>
                </c:pt>
                <c:pt idx="124">
                  <c:v>88.993799999999993</c:v>
                </c:pt>
                <c:pt idx="125">
                  <c:v>88.743750000000006</c:v>
                </c:pt>
                <c:pt idx="126">
                  <c:v>88.493700000000004</c:v>
                </c:pt>
                <c:pt idx="127">
                  <c:v>88.243650000000002</c:v>
                </c:pt>
                <c:pt idx="128">
                  <c:v>87.993600000000001</c:v>
                </c:pt>
                <c:pt idx="129">
                  <c:v>87.743549999999999</c:v>
                </c:pt>
                <c:pt idx="130">
                  <c:v>87.493500000000012</c:v>
                </c:pt>
                <c:pt idx="131">
                  <c:v>87.243449999999996</c:v>
                </c:pt>
                <c:pt idx="132">
                  <c:v>86.993400000000008</c:v>
                </c:pt>
                <c:pt idx="133">
                  <c:v>86.743349999999992</c:v>
                </c:pt>
                <c:pt idx="134">
                  <c:v>86.493300000000005</c:v>
                </c:pt>
                <c:pt idx="135">
                  <c:v>86.243250000000003</c:v>
                </c:pt>
                <c:pt idx="136">
                  <c:v>85.993200000000002</c:v>
                </c:pt>
                <c:pt idx="137">
                  <c:v>85.74315</c:v>
                </c:pt>
                <c:pt idx="138">
                  <c:v>85.493099999999998</c:v>
                </c:pt>
                <c:pt idx="139">
                  <c:v>85.243050000000011</c:v>
                </c:pt>
                <c:pt idx="140">
                  <c:v>84.992999999999995</c:v>
                </c:pt>
                <c:pt idx="141">
                  <c:v>84.742950000000008</c:v>
                </c:pt>
                <c:pt idx="142">
                  <c:v>84.492899999999992</c:v>
                </c:pt>
                <c:pt idx="143">
                  <c:v>84.242850000000004</c:v>
                </c:pt>
                <c:pt idx="144">
                  <c:v>83.992800000000003</c:v>
                </c:pt>
                <c:pt idx="145">
                  <c:v>83.742750000000001</c:v>
                </c:pt>
                <c:pt idx="146">
                  <c:v>83.492699999999999</c:v>
                </c:pt>
                <c:pt idx="147">
                  <c:v>83.242649999999998</c:v>
                </c:pt>
                <c:pt idx="148">
                  <c:v>82.992599999999996</c:v>
                </c:pt>
                <c:pt idx="149">
                  <c:v>82.742549999999994</c:v>
                </c:pt>
                <c:pt idx="150">
                  <c:v>82.492500000000007</c:v>
                </c:pt>
                <c:pt idx="151">
                  <c:v>82.242449999999991</c:v>
                </c:pt>
                <c:pt idx="152">
                  <c:v>81.992400000000004</c:v>
                </c:pt>
                <c:pt idx="153">
                  <c:v>81.742350000000002</c:v>
                </c:pt>
                <c:pt idx="154">
                  <c:v>81.4923</c:v>
                </c:pt>
                <c:pt idx="155">
                  <c:v>81.242249999999999</c:v>
                </c:pt>
                <c:pt idx="156">
                  <c:v>80.992199999999997</c:v>
                </c:pt>
                <c:pt idx="157">
                  <c:v>80.742150000000009</c:v>
                </c:pt>
                <c:pt idx="158">
                  <c:v>80.492099999999994</c:v>
                </c:pt>
                <c:pt idx="159">
                  <c:v>80.242050000000006</c:v>
                </c:pt>
                <c:pt idx="160">
                  <c:v>79.99199999999999</c:v>
                </c:pt>
                <c:pt idx="161">
                  <c:v>79.741950000000003</c:v>
                </c:pt>
                <c:pt idx="162">
                  <c:v>79.491900000000001</c:v>
                </c:pt>
                <c:pt idx="163">
                  <c:v>79.241849999999999</c:v>
                </c:pt>
                <c:pt idx="164">
                  <c:v>78.991799999999998</c:v>
                </c:pt>
                <c:pt idx="165">
                  <c:v>78.741749999999996</c:v>
                </c:pt>
                <c:pt idx="166">
                  <c:v>78.491700000000009</c:v>
                </c:pt>
                <c:pt idx="167">
                  <c:v>78.241649999999993</c:v>
                </c:pt>
                <c:pt idx="168">
                  <c:v>77.991600000000005</c:v>
                </c:pt>
                <c:pt idx="169">
                  <c:v>77.741550000000004</c:v>
                </c:pt>
                <c:pt idx="170">
                  <c:v>77.491500000000002</c:v>
                </c:pt>
                <c:pt idx="171">
                  <c:v>77.24145</c:v>
                </c:pt>
                <c:pt idx="172">
                  <c:v>76.991399999999999</c:v>
                </c:pt>
                <c:pt idx="173">
                  <c:v>76.741350000000011</c:v>
                </c:pt>
                <c:pt idx="174">
                  <c:v>76.491299999999995</c:v>
                </c:pt>
                <c:pt idx="175">
                  <c:v>76.241249999999994</c:v>
                </c:pt>
                <c:pt idx="176">
                  <c:v>75.991199999999992</c:v>
                </c:pt>
                <c:pt idx="177">
                  <c:v>75.741150000000005</c:v>
                </c:pt>
                <c:pt idx="178">
                  <c:v>75.491100000000003</c:v>
                </c:pt>
                <c:pt idx="179">
                  <c:v>75.241050000000001</c:v>
                </c:pt>
                <c:pt idx="180">
                  <c:v>74.991000000000014</c:v>
                </c:pt>
                <c:pt idx="181">
                  <c:v>74.740949999999998</c:v>
                </c:pt>
                <c:pt idx="182">
                  <c:v>74.490899999999996</c:v>
                </c:pt>
                <c:pt idx="183">
                  <c:v>74.240849999999995</c:v>
                </c:pt>
                <c:pt idx="184">
                  <c:v>73.990800000000007</c:v>
                </c:pt>
                <c:pt idx="185">
                  <c:v>73.740750000000006</c:v>
                </c:pt>
                <c:pt idx="186">
                  <c:v>73.490700000000004</c:v>
                </c:pt>
                <c:pt idx="187">
                  <c:v>73.240649999999988</c:v>
                </c:pt>
                <c:pt idx="188">
                  <c:v>72.990600000000001</c:v>
                </c:pt>
                <c:pt idx="189">
                  <c:v>72.740549999999999</c:v>
                </c:pt>
                <c:pt idx="190">
                  <c:v>72.490499999999997</c:v>
                </c:pt>
                <c:pt idx="191">
                  <c:v>72.24045000000001</c:v>
                </c:pt>
                <c:pt idx="192">
                  <c:v>71.990399999999994</c:v>
                </c:pt>
                <c:pt idx="193">
                  <c:v>71.740350000000007</c:v>
                </c:pt>
                <c:pt idx="194">
                  <c:v>71.490299999999991</c:v>
                </c:pt>
                <c:pt idx="195">
                  <c:v>71.240250000000003</c:v>
                </c:pt>
                <c:pt idx="196">
                  <c:v>70.990200000000002</c:v>
                </c:pt>
                <c:pt idx="197">
                  <c:v>70.74015</c:v>
                </c:pt>
                <c:pt idx="198">
                  <c:v>70.490099999999998</c:v>
                </c:pt>
                <c:pt idx="199">
                  <c:v>70.240049999999997</c:v>
                </c:pt>
                <c:pt idx="200">
                  <c:v>69.990000000000009</c:v>
                </c:pt>
                <c:pt idx="201">
                  <c:v>69.739949999999993</c:v>
                </c:pt>
                <c:pt idx="202">
                  <c:v>69.489900000000006</c:v>
                </c:pt>
                <c:pt idx="203">
                  <c:v>69.239850000000004</c:v>
                </c:pt>
                <c:pt idx="204">
                  <c:v>68.989800000000002</c:v>
                </c:pt>
                <c:pt idx="205">
                  <c:v>68.739750000000001</c:v>
                </c:pt>
                <c:pt idx="206">
                  <c:v>68.489699999999999</c:v>
                </c:pt>
                <c:pt idx="207">
                  <c:v>68.239649999999997</c:v>
                </c:pt>
                <c:pt idx="208">
                  <c:v>67.989599999999996</c:v>
                </c:pt>
                <c:pt idx="209">
                  <c:v>67.739550000000008</c:v>
                </c:pt>
                <c:pt idx="210">
                  <c:v>67.489499999999992</c:v>
                </c:pt>
                <c:pt idx="211">
                  <c:v>67.239450000000005</c:v>
                </c:pt>
                <c:pt idx="212">
                  <c:v>66.989399999999989</c:v>
                </c:pt>
                <c:pt idx="213">
                  <c:v>66.739350000000002</c:v>
                </c:pt>
                <c:pt idx="214">
                  <c:v>66.4893</c:v>
                </c:pt>
                <c:pt idx="215">
                  <c:v>66.239249999999998</c:v>
                </c:pt>
                <c:pt idx="216">
                  <c:v>65.989199999999997</c:v>
                </c:pt>
                <c:pt idx="217">
                  <c:v>65.739149999999995</c:v>
                </c:pt>
                <c:pt idx="218">
                  <c:v>65.489100000000008</c:v>
                </c:pt>
                <c:pt idx="219">
                  <c:v>65.239049999999992</c:v>
                </c:pt>
                <c:pt idx="220">
                  <c:v>64.989000000000004</c:v>
                </c:pt>
                <c:pt idx="221">
                  <c:v>64.738949999999988</c:v>
                </c:pt>
                <c:pt idx="222">
                  <c:v>64.488900000000001</c:v>
                </c:pt>
                <c:pt idx="223">
                  <c:v>64.238849999999999</c:v>
                </c:pt>
                <c:pt idx="224">
                  <c:v>63.988799999999998</c:v>
                </c:pt>
                <c:pt idx="225">
                  <c:v>63.738750000000003</c:v>
                </c:pt>
                <c:pt idx="226">
                  <c:v>63.488700000000001</c:v>
                </c:pt>
                <c:pt idx="227">
                  <c:v>63.23865</c:v>
                </c:pt>
                <c:pt idx="228">
                  <c:v>62.988599999999998</c:v>
                </c:pt>
                <c:pt idx="229">
                  <c:v>62.738549999999996</c:v>
                </c:pt>
                <c:pt idx="230">
                  <c:v>62.488500000000002</c:v>
                </c:pt>
                <c:pt idx="231">
                  <c:v>62.23845</c:v>
                </c:pt>
                <c:pt idx="232">
                  <c:v>61.988400000000006</c:v>
                </c:pt>
                <c:pt idx="233">
                  <c:v>61.738349999999997</c:v>
                </c:pt>
                <c:pt idx="234">
                  <c:v>61.488299999999995</c:v>
                </c:pt>
                <c:pt idx="235">
                  <c:v>61.238250000000001</c:v>
                </c:pt>
                <c:pt idx="236">
                  <c:v>60.988199999999999</c:v>
                </c:pt>
                <c:pt idx="237">
                  <c:v>60.738150000000005</c:v>
                </c:pt>
                <c:pt idx="238">
                  <c:v>60.488099999999996</c:v>
                </c:pt>
                <c:pt idx="239">
                  <c:v>60.238049999999994</c:v>
                </c:pt>
                <c:pt idx="240">
                  <c:v>59.988</c:v>
                </c:pt>
                <c:pt idx="241">
                  <c:v>59.737949999999998</c:v>
                </c:pt>
                <c:pt idx="242">
                  <c:v>59.487900000000003</c:v>
                </c:pt>
                <c:pt idx="243">
                  <c:v>59.237850000000002</c:v>
                </c:pt>
                <c:pt idx="244">
                  <c:v>58.987799999999993</c:v>
                </c:pt>
                <c:pt idx="245">
                  <c:v>58.737749999999998</c:v>
                </c:pt>
                <c:pt idx="246">
                  <c:v>58.487699999999997</c:v>
                </c:pt>
                <c:pt idx="247">
                  <c:v>58.237650000000002</c:v>
                </c:pt>
                <c:pt idx="248">
                  <c:v>57.9876</c:v>
                </c:pt>
                <c:pt idx="249">
                  <c:v>57.737550000000006</c:v>
                </c:pt>
                <c:pt idx="250">
                  <c:v>57.487499999999997</c:v>
                </c:pt>
              </c:numCache>
            </c:numRef>
          </c:yVal>
          <c:smooth val="1"/>
        </c:ser>
        <c:ser>
          <c:idx val="0"/>
          <c:order val="15"/>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hx!$V$5:$V$255</c:f>
              <c:numCache>
                <c:formatCode>0.00</c:formatCode>
                <c:ptCount val="251"/>
                <c:pt idx="1">
                  <c:v>-15.225575436418033</c:v>
                </c:pt>
                <c:pt idx="2">
                  <c:v>-7.4646201522641231</c:v>
                </c:pt>
                <c:pt idx="3">
                  <c:v>-2.7050073763279818</c:v>
                </c:pt>
                <c:pt idx="4">
                  <c:v>0.88106276638295911</c:v>
                </c:pt>
                <c:pt idx="5">
                  <c:v>4.0254027375528638</c:v>
                </c:pt>
                <c:pt idx="6">
                  <c:v>6.6571095141289076</c:v>
                </c:pt>
                <c:pt idx="7">
                  <c:v>8.9277407543459688</c:v>
                </c:pt>
                <c:pt idx="8">
                  <c:v>10.929478953289095</c:v>
                </c:pt>
                <c:pt idx="9">
                  <c:v>12.722742634528505</c:v>
                </c:pt>
                <c:pt idx="10">
                  <c:v>14.349365154629586</c:v>
                </c:pt>
                <c:pt idx="11">
                  <c:v>15.839556952917295</c:v>
                </c:pt>
                <c:pt idx="12">
                  <c:v>17.215874855522959</c:v>
                </c:pt>
                <c:pt idx="13">
                  <c:v>18.495623806458241</c:v>
                </c:pt>
                <c:pt idx="14">
                  <c:v>19.692381351923359</c:v>
                </c:pt>
                <c:pt idx="15">
                  <c:v>20.817004174886467</c:v>
                </c:pt>
                <c:pt idx="16">
                  <c:v>21.878314960833265</c:v>
                </c:pt>
                <c:pt idx="17">
                  <c:v>22.8835844709069</c:v>
                </c:pt>
                <c:pt idx="18">
                  <c:v>23.838878169412084</c:v>
                </c:pt>
                <c:pt idx="19">
                  <c:v>24.749310768758527</c:v>
                </c:pt>
                <c:pt idx="20">
                  <c:v>25.619236647860301</c:v>
                </c:pt>
                <c:pt idx="21">
                  <c:v>26.452394655705593</c:v>
                </c:pt>
                <c:pt idx="22">
                  <c:v>27.252019851157833</c:v>
                </c:pt>
                <c:pt idx="23">
                  <c:v>28.020930869582234</c:v>
                </c:pt>
                <c:pt idx="24">
                  <c:v>28.761599048332119</c:v>
                </c:pt>
                <c:pt idx="25">
                  <c:v>29.476203711967123</c:v>
                </c:pt>
                <c:pt idx="26">
                  <c:v>30.166676824652136</c:v>
                </c:pt>
                <c:pt idx="27">
                  <c:v>30.834739380397124</c:v>
                </c:pt>
                <c:pt idx="28">
                  <c:v>31.481931305925134</c:v>
                </c:pt>
                <c:pt idx="29">
                  <c:v>32.10963622058793</c:v>
                </c:pt>
                <c:pt idx="30">
                  <c:v>32.719102082844053</c:v>
                </c:pt>
                <c:pt idx="31">
                  <c:v>33.311458519610987</c:v>
                </c:pt>
                <c:pt idx="32">
                  <c:v>33.887731460176937</c:v>
                </c:pt>
                <c:pt idx="33">
                  <c:v>34.448855564236553</c:v>
                </c:pt>
                <c:pt idx="34">
                  <c:v>34.995684832691893</c:v>
                </c:pt>
                <c:pt idx="35">
                  <c:v>35.529001712072144</c:v>
                </c:pt>
                <c:pt idx="36">
                  <c:v>36.049524942966542</c:v>
                </c:pt>
                <c:pt idx="37">
                  <c:v>36.557916355504474</c:v>
                </c:pt>
                <c:pt idx="38">
                  <c:v>37.054786777540933</c:v>
                </c:pt>
                <c:pt idx="39">
                  <c:v>37.540701191505242</c:v>
                </c:pt>
                <c:pt idx="40">
                  <c:v>38.016183252114708</c:v>
                </c:pt>
                <c:pt idx="41">
                  <c:v>38.481719258035056</c:v>
                </c:pt>
                <c:pt idx="42">
                  <c:v>38.937761655091137</c:v>
                </c:pt>
                <c:pt idx="43">
                  <c:v>39.384732136031595</c:v>
                </c:pt>
                <c:pt idx="44">
                  <c:v>39.823024391540507</c:v>
                </c:pt>
                <c:pt idx="45">
                  <c:v>40.253006558708798</c:v>
                </c:pt>
                <c:pt idx="46">
                  <c:v>40.675023406171469</c:v>
                </c:pt>
                <c:pt idx="47">
                  <c:v>41.089398289300064</c:v>
                </c:pt>
                <c:pt idx="48">
                  <c:v>41.496434903990462</c:v>
                </c:pt>
                <c:pt idx="49">
                  <c:v>41.896418863527572</c:v>
                </c:pt>
                <c:pt idx="50">
                  <c:v>42.289619119596637</c:v>
                </c:pt>
                <c:pt idx="51">
                  <c:v>42.67628924563337</c:v>
                </c:pt>
                <c:pt idx="52">
                  <c:v>43.056668598269063</c:v>
                </c:pt>
                <c:pt idx="53">
                  <c:v>43.43098337055671</c:v>
                </c:pt>
                <c:pt idx="54">
                  <c:v>43.79944754890019</c:v>
                </c:pt>
                <c:pt idx="55">
                  <c:v>44.162263784100212</c:v>
                </c:pt>
                <c:pt idx="56">
                  <c:v>44.519624185636523</c:v>
                </c:pt>
                <c:pt idx="57">
                  <c:v>44.871711047193216</c:v>
                </c:pt>
                <c:pt idx="58">
                  <c:v>45.218697510473689</c:v>
                </c:pt>
                <c:pt idx="59">
                  <c:v>45.560748173521404</c:v>
                </c:pt>
                <c:pt idx="60">
                  <c:v>45.898019649042048</c:v>
                </c:pt>
                <c:pt idx="61">
                  <c:v>46.230661077596828</c:v>
                </c:pt>
                <c:pt idx="62">
                  <c:v>46.558814599990399</c:v>
                </c:pt>
                <c:pt idx="63">
                  <c:v>46.882615792700143</c:v>
                </c:pt>
                <c:pt idx="64">
                  <c:v>47.202194069776063</c:v>
                </c:pt>
                <c:pt idx="65">
                  <c:v>47.517673054273686</c:v>
                </c:pt>
                <c:pt idx="66">
                  <c:v>47.829170921960554</c:v>
                </c:pt>
                <c:pt idx="67">
                  <c:v>48.136800719752344</c:v>
                </c:pt>
                <c:pt idx="68">
                  <c:v>48.440670661084212</c:v>
                </c:pt>
                <c:pt idx="69">
                  <c:v>48.740884400200841</c:v>
                </c:pt>
                <c:pt idx="70">
                  <c:v>49.037541287151953</c:v>
                </c:pt>
                <c:pt idx="71">
                  <c:v>49.330736605105486</c:v>
                </c:pt>
                <c:pt idx="72">
                  <c:v>49.620561791435144</c:v>
                </c:pt>
                <c:pt idx="73">
                  <c:v>49.907104643900446</c:v>
                </c:pt>
                <c:pt idx="74">
                  <c:v>50.19044951311421</c:v>
                </c:pt>
                <c:pt idx="75">
                  <c:v>50.470677482381348</c:v>
                </c:pt>
                <c:pt idx="76">
                  <c:v>50.747866535894033</c:v>
                </c:pt>
                <c:pt idx="77">
                  <c:v>51.022091716180114</c:v>
                </c:pt>
                <c:pt idx="78">
                  <c:v>51.293425271621047</c:v>
                </c:pt>
                <c:pt idx="79">
                  <c:v>51.561936794784657</c:v>
                </c:pt>
                <c:pt idx="80">
                  <c:v>51.827693352252822</c:v>
                </c:pt>
                <c:pt idx="81">
                  <c:v>52.090759606566913</c:v>
                </c:pt>
                <c:pt idx="82">
                  <c:v>52.351197930859705</c:v>
                </c:pt>
                <c:pt idx="83">
                  <c:v>52.609068516696595</c:v>
                </c:pt>
                <c:pt idx="84">
                  <c:v>52.864429475604581</c:v>
                </c:pt>
                <c:pt idx="85">
                  <c:v>53.117336934729096</c:v>
                </c:pt>
                <c:pt idx="86">
                  <c:v>53.367845127022932</c:v>
                </c:pt>
                <c:pt idx="87">
                  <c:v>53.616006476339834</c:v>
                </c:pt>
                <c:pt idx="88">
                  <c:v>53.861871677775241</c:v>
                </c:pt>
                <c:pt idx="89">
                  <c:v>54.105489773570774</c:v>
                </c:pt>
                <c:pt idx="90">
                  <c:v>54.346908224874085</c:v>
                </c:pt>
                <c:pt idx="91">
                  <c:v>54.586172979623875</c:v>
                </c:pt>
                <c:pt idx="92">
                  <c:v>54.823328536809314</c:v>
                </c:pt>
                <c:pt idx="93">
                  <c:v>55.058418007334836</c:v>
                </c:pt>
                <c:pt idx="94">
                  <c:v>55.291483171703803</c:v>
                </c:pt>
                <c:pt idx="95">
                  <c:v>55.522564534719407</c:v>
                </c:pt>
                <c:pt idx="96">
                  <c:v>55.75170137738688</c:v>
                </c:pt>
                <c:pt idx="97">
                  <c:v>55.978931806187262</c:v>
                </c:pt>
                <c:pt idx="98">
                  <c:v>56.204292799881891</c:v>
                </c:pt>
                <c:pt idx="99">
                  <c:v>56.427820253995272</c:v>
                </c:pt>
                <c:pt idx="100">
                  <c:v>56.649549023113039</c:v>
                </c:pt>
                <c:pt idx="101">
                  <c:v>56.869512961123903</c:v>
                </c:pt>
                <c:pt idx="102">
                  <c:v>57.087744959524173</c:v>
                </c:pt>
                <c:pt idx="103">
                  <c:v>57.304276983896273</c:v>
                </c:pt>
                <c:pt idx="104">
                  <c:v>57.519140108665496</c:v>
                </c:pt>
                <c:pt idx="105">
                  <c:v>57.732364550231367</c:v>
                </c:pt>
                <c:pt idx="106">
                  <c:v>57.943979698564775</c:v>
                </c:pt>
                <c:pt idx="107">
                  <c:v>58.154014147355603</c:v>
                </c:pt>
                <c:pt idx="108">
                  <c:v>58.362495722790108</c:v>
                </c:pt>
                <c:pt idx="109">
                  <c:v>58.569451511032383</c:v>
                </c:pt>
                <c:pt idx="110">
                  <c:v>58.774907884479816</c:v>
                </c:pt>
                <c:pt idx="111">
                  <c:v>58.978890526857555</c:v>
                </c:pt>
                <c:pt idx="112">
                  <c:v>59.18142445721351</c:v>
                </c:pt>
                <c:pt idx="113">
                  <c:v>59.382534052871193</c:v>
                </c:pt>
                <c:pt idx="114">
                  <c:v>59.582243071394728</c:v>
                </c:pt>
                <c:pt idx="115">
                  <c:v>59.780574671616485</c:v>
                </c:pt>
                <c:pt idx="116">
                  <c:v>59.977551433775517</c:v>
                </c:pt>
                <c:pt idx="117">
                  <c:v>60.173195378811222</c:v>
                </c:pt>
                <c:pt idx="118">
                  <c:v>60.367527986855066</c:v>
                </c:pt>
                <c:pt idx="119">
                  <c:v>60.61088832238228</c:v>
                </c:pt>
                <c:pt idx="120">
                  <c:v>60.803234756477536</c:v>
                </c:pt>
                <c:pt idx="121">
                  <c:v>60.994333530397128</c:v>
                </c:pt>
                <c:pt idx="122">
                  <c:v>61.184204051856483</c:v>
                </c:pt>
                <c:pt idx="123">
                  <c:v>61.372865271695375</c:v>
                </c:pt>
                <c:pt idx="124">
                  <c:v>61.560335698248885</c:v>
                </c:pt>
                <c:pt idx="125">
                  <c:v>61.746633411154072</c:v>
                </c:pt>
                <c:pt idx="126">
                  <c:v>61.931776074619393</c:v>
                </c:pt>
                <c:pt idx="127">
                  <c:v>62.115780950181204</c:v>
                </c:pt>
                <c:pt idx="128">
                  <c:v>62.29866490897156</c:v>
                </c:pt>
                <c:pt idx="129">
                  <c:v>62.480444443519573</c:v>
                </c:pt>
                <c:pt idx="130">
                  <c:v>62.661135679107339</c:v>
                </c:pt>
                <c:pt idx="131">
                  <c:v>62.840754384700745</c:v>
                </c:pt>
                <c:pt idx="132">
                  <c:v>63.019315983474137</c:v>
                </c:pt>
                <c:pt idx="133">
                  <c:v>63.196835562946852</c:v>
                </c:pt>
                <c:pt idx="134">
                  <c:v>63.373327884748811</c:v>
                </c:pt>
                <c:pt idx="135">
                  <c:v>63.548807394031328</c:v>
                </c:pt>
                <c:pt idx="136">
                  <c:v>63.723288228538649</c:v>
                </c:pt>
                <c:pt idx="137">
                  <c:v>63.896784227354672</c:v>
                </c:pt>
                <c:pt idx="138">
                  <c:v>64.069308939339038</c:v>
                </c:pt>
                <c:pt idx="139">
                  <c:v>64.240875631265567</c:v>
                </c:pt>
                <c:pt idx="140">
                  <c:v>64.411497295675616</c:v>
                </c:pt>
                <c:pt idx="141">
                  <c:v>64.581186658458449</c:v>
                </c:pt>
                <c:pt idx="142">
                  <c:v>64.749956186169811</c:v>
                </c:pt>
                <c:pt idx="143">
                  <c:v>64.917818093099754</c:v>
                </c:pt>
                <c:pt idx="144">
                  <c:v>65.084784348099745</c:v>
                </c:pt>
                <c:pt idx="145">
                  <c:v>65.250866681178849</c:v>
                </c:pt>
                <c:pt idx="146">
                  <c:v>65.416076589878728</c:v>
                </c:pt>
                <c:pt idx="147">
                  <c:v>65.580425345435771</c:v>
                </c:pt>
                <c:pt idx="148">
                  <c:v>65.743923998739419</c:v>
                </c:pt>
                <c:pt idx="149">
                  <c:v>65.906583386094269</c:v>
                </c:pt>
                <c:pt idx="150">
                  <c:v>66.068414134794068</c:v>
                </c:pt>
                <c:pt idx="151">
                  <c:v>66.229426668514606</c:v>
                </c:pt>
                <c:pt idx="152">
                  <c:v>66.389631212532947</c:v>
                </c:pt>
                <c:pt idx="153">
                  <c:v>66.549037798779452</c:v>
                </c:pt>
                <c:pt idx="154">
                  <c:v>66.707656270728677</c:v>
                </c:pt>
                <c:pt idx="155">
                  <c:v>66.865496288136271</c:v>
                </c:pt>
                <c:pt idx="156">
                  <c:v>67.022567331626647</c:v>
                </c:pt>
                <c:pt idx="157">
                  <c:v>67.178878707137358</c:v>
                </c:pt>
                <c:pt idx="158">
                  <c:v>67.334439550226193</c:v>
                </c:pt>
                <c:pt idx="159">
                  <c:v>67.489258830245035</c:v>
                </c:pt>
                <c:pt idx="160">
                  <c:v>67.643345354385957</c:v>
                </c:pt>
                <c:pt idx="161">
                  <c:v>67.796707771604602</c:v>
                </c:pt>
                <c:pt idx="162">
                  <c:v>67.94935457642454</c:v>
                </c:pt>
                <c:pt idx="163">
                  <c:v>68.101294112627045</c:v>
                </c:pt>
                <c:pt idx="164">
                  <c:v>68.252534576831536</c:v>
                </c:pt>
                <c:pt idx="165">
                  <c:v>68.40308402196861</c:v>
                </c:pt>
                <c:pt idx="166">
                  <c:v>68.552950360651522</c:v>
                </c:pt>
                <c:pt idx="167">
                  <c:v>68.70214136844811</c:v>
                </c:pt>
                <c:pt idx="168">
                  <c:v>68.850664687057787</c:v>
                </c:pt>
                <c:pt idx="169">
                  <c:v>68.99852782739606</c:v>
                </c:pt>
                <c:pt idx="170">
                  <c:v>69.145738172590541</c:v>
                </c:pt>
                <c:pt idx="171">
                  <c:v>69.292302980890796</c:v>
                </c:pt>
                <c:pt idx="172">
                  <c:v>69.438229388495614</c:v>
                </c:pt>
                <c:pt idx="173">
                  <c:v>69.583524412300108</c:v>
                </c:pt>
                <c:pt idx="174">
                  <c:v>69.728194952565389</c:v>
                </c:pt>
                <c:pt idx="175">
                  <c:v>69.872247795513928</c:v>
                </c:pt>
                <c:pt idx="176">
                  <c:v>70.015689615852011</c:v>
                </c:pt>
                <c:pt idx="177">
                  <c:v>70.158526979223126</c:v>
                </c:pt>
                <c:pt idx="178">
                  <c:v>70.300766344593384</c:v>
                </c:pt>
                <c:pt idx="179">
                  <c:v>70.442414066571899</c:v>
                </c:pt>
                <c:pt idx="180">
                  <c:v>70.583476397667823</c:v>
                </c:pt>
                <c:pt idx="181">
                  <c:v>70.723959490486749</c:v>
                </c:pt>
                <c:pt idx="182">
                  <c:v>70.863869399867369</c:v>
                </c:pt>
                <c:pt idx="183">
                  <c:v>71.003212084961575</c:v>
                </c:pt>
                <c:pt idx="184">
                  <c:v>71.141993411258937</c:v>
                </c:pt>
                <c:pt idx="185">
                  <c:v>71.280219152557592</c:v>
                </c:pt>
                <c:pt idx="186">
                  <c:v>71.417894992883191</c:v>
                </c:pt>
                <c:pt idx="187">
                  <c:v>71.5550265283577</c:v>
                </c:pt>
                <c:pt idx="188">
                  <c:v>71.69161926901981</c:v>
                </c:pt>
                <c:pt idx="189">
                  <c:v>71.82767864059754</c:v>
                </c:pt>
                <c:pt idx="190">
                  <c:v>71.963209986235626</c:v>
                </c:pt>
                <c:pt idx="191">
                  <c:v>72.09821856817868</c:v>
                </c:pt>
                <c:pt idx="192">
                  <c:v>72.232709569411128</c:v>
                </c:pt>
                <c:pt idx="193">
                  <c:v>72.366688095255768</c:v>
                </c:pt>
                <c:pt idx="194">
                  <c:v>72.500159174931866</c:v>
                </c:pt>
                <c:pt idx="195">
                  <c:v>72.633127763074469</c:v>
                </c:pt>
                <c:pt idx="196">
                  <c:v>72.76559874121503</c:v>
                </c:pt>
                <c:pt idx="197">
                  <c:v>72.897576919226196</c:v>
                </c:pt>
                <c:pt idx="198">
                  <c:v>73.029067036730012</c:v>
                </c:pt>
                <c:pt idx="199">
                  <c:v>73.160073764472216</c:v>
                </c:pt>
                <c:pt idx="200">
                  <c:v>73.290601705662226</c:v>
                </c:pt>
                <c:pt idx="201">
                  <c:v>73.420655397281109</c:v>
                </c:pt>
                <c:pt idx="202">
                  <c:v>73.550239311357302</c:v>
                </c:pt>
                <c:pt idx="203">
                  <c:v>73.67935785621215</c:v>
                </c:pt>
                <c:pt idx="204">
                  <c:v>73.808015377674934</c:v>
                </c:pt>
                <c:pt idx="205">
                  <c:v>73.93621616026941</c:v>
                </c:pt>
                <c:pt idx="206">
                  <c:v>74.063964428371946</c:v>
                </c:pt>
                <c:pt idx="207">
                  <c:v>74.191264347342212</c:v>
                </c:pt>
                <c:pt idx="208">
                  <c:v>74.318120024627376</c:v>
                </c:pt>
                <c:pt idx="209">
                  <c:v>74.44453551084041</c:v>
                </c:pt>
                <c:pt idx="210">
                  <c:v>74.570514800813271</c:v>
                </c:pt>
                <c:pt idx="211">
                  <c:v>74.696061834625539</c:v>
                </c:pt>
                <c:pt idx="212">
                  <c:v>74.82118049860955</c:v>
                </c:pt>
                <c:pt idx="213">
                  <c:v>74.945874626332341</c:v>
                </c:pt>
                <c:pt idx="214">
                  <c:v>75.070147999555033</c:v>
                </c:pt>
                <c:pt idx="215">
                  <c:v>75.1940043491702</c:v>
                </c:pt>
                <c:pt idx="216">
                  <c:v>75.317447356118791</c:v>
                </c:pt>
                <c:pt idx="217">
                  <c:v>75.440480652285316</c:v>
                </c:pt>
                <c:pt idx="218">
                  <c:v>75.563107821373706</c:v>
                </c:pt>
                <c:pt idx="219">
                  <c:v>75.685332399763269</c:v>
                </c:pt>
                <c:pt idx="220">
                  <c:v>75.807157877345873</c:v>
                </c:pt>
                <c:pt idx="221">
                  <c:v>75.928587698344074</c:v>
                </c:pt>
                <c:pt idx="222">
                  <c:v>76.049625262111874</c:v>
                </c:pt>
                <c:pt idx="223">
                  <c:v>76.170273923917293</c:v>
                </c:pt>
                <c:pt idx="224">
                  <c:v>76.290536995708379</c:v>
                </c:pt>
                <c:pt idx="225">
                  <c:v>76.410417746862151</c:v>
                </c:pt>
                <c:pt idx="226">
                  <c:v>76.529919404917678</c:v>
                </c:pt>
                <c:pt idx="227">
                  <c:v>76.649045156292942</c:v>
                </c:pt>
                <c:pt idx="228">
                  <c:v>76.767798146986649</c:v>
                </c:pt>
                <c:pt idx="229">
                  <c:v>76.886181483265062</c:v>
                </c:pt>
                <c:pt idx="230">
                  <c:v>77.004198232333763</c:v>
                </c:pt>
                <c:pt idx="231">
                  <c:v>77.121851422996031</c:v>
                </c:pt>
                <c:pt idx="232">
                  <c:v>77.239144046296417</c:v>
                </c:pt>
                <c:pt idx="233">
                  <c:v>77.356079056151486</c:v>
                </c:pt>
                <c:pt idx="234">
                  <c:v>77.472659369966735</c:v>
                </c:pt>
                <c:pt idx="235">
                  <c:v>77.58888786924166</c:v>
                </c:pt>
                <c:pt idx="236">
                  <c:v>77.704767400161018</c:v>
                </c:pt>
                <c:pt idx="237">
                  <c:v>77.820300774174953</c:v>
                </c:pt>
                <c:pt idx="238">
                  <c:v>77.935490768566581</c:v>
                </c:pt>
                <c:pt idx="239">
                  <c:v>78.050340127008212</c:v>
                </c:pt>
                <c:pt idx="240">
                  <c:v>78.164851560106229</c:v>
                </c:pt>
                <c:pt idx="241">
                  <c:v>78.27902774593467</c:v>
                </c:pt>
                <c:pt idx="242">
                  <c:v>78.392871330558336</c:v>
                </c:pt>
                <c:pt idx="243">
                  <c:v>78.506384928545373</c:v>
                </c:pt>
                <c:pt idx="244">
                  <c:v>78.619571123469029</c:v>
                </c:pt>
                <c:pt idx="245">
                  <c:v>78.732432468400361</c:v>
                </c:pt>
                <c:pt idx="246">
                  <c:v>78.844971486389881</c:v>
                </c:pt>
                <c:pt idx="247">
                  <c:v>78.957190670941173</c:v>
                </c:pt>
                <c:pt idx="248">
                  <c:v>79.069092486473792</c:v>
                </c:pt>
                <c:pt idx="249">
                  <c:v>79.180679368777731</c:v>
                </c:pt>
                <c:pt idx="250">
                  <c:v>79.29195372545918</c:v>
                </c:pt>
              </c:numCache>
            </c:numRef>
          </c:yVal>
          <c:smooth val="1"/>
        </c:ser>
        <c:ser>
          <c:idx val="16"/>
          <c:order val="16"/>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hx!$W$5:$W$255</c:f>
              <c:numCache>
                <c:formatCode>0.00</c:formatCode>
                <c:ptCount val="251"/>
                <c:pt idx="1">
                  <c:v>-22.550978623579876</c:v>
                </c:pt>
                <c:pt idx="2">
                  <c:v>-15.230172688848542</c:v>
                </c:pt>
                <c:pt idx="3">
                  <c:v>-10.747208400908059</c:v>
                </c:pt>
                <c:pt idx="4">
                  <c:v>-7.4711229468439626</c:v>
                </c:pt>
                <c:pt idx="5">
                  <c:v>-4.8731323139070435</c:v>
                </c:pt>
                <c:pt idx="6">
                  <c:v>-2.7122910405795007</c:v>
                </c:pt>
                <c:pt idx="7">
                  <c:v>-0.85780978980209821</c:v>
                </c:pt>
                <c:pt idx="8">
                  <c:v>0.8727748405415956</c:v>
                </c:pt>
                <c:pt idx="9">
                  <c:v>2.5223662462593266</c:v>
                </c:pt>
                <c:pt idx="10">
                  <c:v>4.0176852514777028</c:v>
                </c:pt>
                <c:pt idx="11">
                  <c:v>5.3867568295253889</c:v>
                </c:pt>
                <c:pt idx="12">
                  <c:v>6.6504974583214178</c:v>
                </c:pt>
                <c:pt idx="13">
                  <c:v>7.8249476481266402</c:v>
                </c:pt>
                <c:pt idx="14">
                  <c:v>8.922688516219841</c:v>
                </c:pt>
                <c:pt idx="15">
                  <c:v>9.9537767658630472</c:v>
                </c:pt>
                <c:pt idx="16">
                  <c:v>10.9263825269493</c:v>
                </c:pt>
                <c:pt idx="17">
                  <c:v>11.847236893530017</c:v>
                </c:pt>
                <c:pt idx="18">
                  <c:v>12.721953633037066</c:v>
                </c:pt>
                <c:pt idx="19">
                  <c:v>13.555265373135576</c:v>
                </c:pt>
                <c:pt idx="20">
                  <c:v>14.351200244911919</c:v>
                </c:pt>
                <c:pt idx="21">
                  <c:v>15.113216180800986</c:v>
                </c:pt>
                <c:pt idx="22">
                  <c:v>15.844304525321327</c:v>
                </c:pt>
                <c:pt idx="23">
                  <c:v>16.547071029203838</c:v>
                </c:pt>
                <c:pt idx="24">
                  <c:v>17.223799920342291</c:v>
                </c:pt>
                <c:pt idx="25">
                  <c:v>17.876505136881175</c:v>
                </c:pt>
                <c:pt idx="26">
                  <c:v>18.506971699364104</c:v>
                </c:pt>
                <c:pt idx="27">
                  <c:v>19.116789421835328</c:v>
                </c:pt>
                <c:pt idx="28">
                  <c:v>19.707380608560882</c:v>
                </c:pt>
                <c:pt idx="29">
                  <c:v>20.280022983534867</c:v>
                </c:pt>
                <c:pt idx="30">
                  <c:v>20.835868807662433</c:v>
                </c:pt>
                <c:pt idx="31">
                  <c:v>21.375960922101136</c:v>
                </c:pt>
                <c:pt idx="32">
                  <c:v>21.901246294213013</c:v>
                </c:pt>
                <c:pt idx="33">
                  <c:v>22.412587520008721</c:v>
                </c:pt>
                <c:pt idx="34">
                  <c:v>22.910772643347915</c:v>
                </c:pt>
                <c:pt idx="35">
                  <c:v>23.396523580014332</c:v>
                </c:pt>
                <c:pt idx="36">
                  <c:v>23.870503378717022</c:v>
                </c:pt>
                <c:pt idx="37">
                  <c:v>24.333322507154211</c:v>
                </c:pt>
                <c:pt idx="38">
                  <c:v>24.785544316624446</c:v>
                </c:pt>
                <c:pt idx="39">
                  <c:v>25.227689811137104</c:v>
                </c:pt>
                <c:pt idx="40">
                  <c:v>25.660241824954205</c:v>
                </c:pt>
                <c:pt idx="41">
                  <c:v>26.083648694775167</c:v>
                </c:pt>
                <c:pt idx="42">
                  <c:v>26.498327498432502</c:v>
                </c:pt>
                <c:pt idx="43">
                  <c:v>26.904666920291248</c:v>
                </c:pt>
                <c:pt idx="44">
                  <c:v>27.303029793991811</c:v>
                </c:pt>
                <c:pt idx="45">
                  <c:v>27.693755365320307</c:v>
                </c:pt>
                <c:pt idx="46">
                  <c:v>28.07716131149936</c:v>
                </c:pt>
                <c:pt idx="47">
                  <c:v>28.453545547805071</c:v>
                </c:pt>
                <c:pt idx="48">
                  <c:v>28.823187847924999</c:v>
                </c:pt>
                <c:pt idx="49">
                  <c:v>29.186351300712982</c:v>
                </c:pt>
                <c:pt idx="50">
                  <c:v>29.543283622837819</c:v>
                </c:pt>
                <c:pt idx="51">
                  <c:v>29.894218344158517</c:v>
                </c:pt>
                <c:pt idx="52">
                  <c:v>30.239375880403436</c:v>
                </c:pt>
                <c:pt idx="53">
                  <c:v>30.578964505814213</c:v>
                </c:pt>
                <c:pt idx="54">
                  <c:v>30.913181236782936</c:v>
                </c:pt>
                <c:pt idx="55">
                  <c:v>31.242212636114225</c:v>
                </c:pt>
                <c:pt idx="56">
                  <c:v>31.56623554634708</c:v>
                </c:pt>
                <c:pt idx="57">
                  <c:v>31.885417759540864</c:v>
                </c:pt>
                <c:pt idx="58">
                  <c:v>32.199918630041481</c:v>
                </c:pt>
                <c:pt idx="59">
                  <c:v>32.509889635975625</c:v>
                </c:pt>
                <c:pt idx="60">
                  <c:v>32.815474894554271</c:v>
                </c:pt>
                <c:pt idx="61">
                  <c:v>33.116811635687213</c:v>
                </c:pt>
                <c:pt idx="62">
                  <c:v>33.414030637905654</c:v>
                </c:pt>
                <c:pt idx="63">
                  <c:v>33.707256630148741</c:v>
                </c:pt>
                <c:pt idx="64">
                  <c:v>33.996608662583192</c:v>
                </c:pt>
                <c:pt idx="65">
                  <c:v>34.28220044928716</c:v>
                </c:pt>
                <c:pt idx="66">
                  <c:v>34.564140685330301</c:v>
                </c:pt>
                <c:pt idx="67">
                  <c:v>34.842533340520291</c:v>
                </c:pt>
                <c:pt idx="68">
                  <c:v>35.117477931853522</c:v>
                </c:pt>
                <c:pt idx="69">
                  <c:v>35.389069776502552</c:v>
                </c:pt>
                <c:pt idx="70">
                  <c:v>35.657400226991683</c:v>
                </c:pt>
                <c:pt idx="71">
                  <c:v>35.922556890049336</c:v>
                </c:pt>
                <c:pt idx="72">
                  <c:v>36.184623830483623</c:v>
                </c:pt>
                <c:pt idx="73">
                  <c:v>36.443681761298272</c:v>
                </c:pt>
                <c:pt idx="74">
                  <c:v>36.699808221152686</c:v>
                </c:pt>
                <c:pt idx="75">
                  <c:v>36.953077740167402</c:v>
                </c:pt>
                <c:pt idx="76">
                  <c:v>37.203561994984696</c:v>
                </c:pt>
                <c:pt idx="77">
                  <c:v>37.451329953912349</c:v>
                </c:pt>
                <c:pt idx="78">
                  <c:v>37.696448012904611</c:v>
                </c:pt>
                <c:pt idx="79">
                  <c:v>37.938980123068454</c:v>
                </c:pt>
                <c:pt idx="80">
                  <c:v>38.178987910323215</c:v>
                </c:pt>
                <c:pt idx="81">
                  <c:v>38.416530787788368</c:v>
                </c:pt>
                <c:pt idx="82">
                  <c:v>38.65166606142494</c:v>
                </c:pt>
                <c:pt idx="83">
                  <c:v>38.884449029412792</c:v>
                </c:pt>
                <c:pt idx="84">
                  <c:v>39.114933075705707</c:v>
                </c:pt>
                <c:pt idx="85">
                  <c:v>39.343169758170376</c:v>
                </c:pt>
                <c:pt idx="86">
                  <c:v>39.569208891682692</c:v>
                </c:pt>
                <c:pt idx="87">
                  <c:v>39.793098626524682</c:v>
                </c:pt>
                <c:pt idx="88">
                  <c:v>40.014885522398785</c:v>
                </c:pt>
                <c:pt idx="89">
                  <c:v>40.234614618351223</c:v>
                </c:pt>
                <c:pt idx="90">
                  <c:v>40.452329498873652</c:v>
                </c:pt>
                <c:pt idx="91">
                  <c:v>40.668072356432354</c:v>
                </c:pt>
                <c:pt idx="92">
                  <c:v>40.881884050654463</c:v>
                </c:pt>
                <c:pt idx="93">
                  <c:v>41.093804164384693</c:v>
                </c:pt>
                <c:pt idx="94">
                  <c:v>41.303871056809498</c:v>
                </c:pt>
                <c:pt idx="95">
                  <c:v>41.512121913831592</c:v>
                </c:pt>
                <c:pt idx="96">
                  <c:v>41.718592795864552</c:v>
                </c:pt>
                <c:pt idx="97">
                  <c:v>41.92331868320494</c:v>
                </c:pt>
                <c:pt idx="98">
                  <c:v>42.126333519128259</c:v>
                </c:pt>
                <c:pt idx="99">
                  <c:v>42.327670250845181</c:v>
                </c:pt>
                <c:pt idx="100">
                  <c:v>42.527360868444504</c:v>
                </c:pt>
                <c:pt idx="101">
                  <c:v>42.725436441940829</c:v>
                </c:pt>
                <c:pt idx="102">
                  <c:v>42.921927156537407</c:v>
                </c:pt>
                <c:pt idx="103">
                  <c:v>43.116862346205963</c:v>
                </c:pt>
                <c:pt idx="104">
                  <c:v>43.310270525680195</c:v>
                </c:pt>
                <c:pt idx="105">
                  <c:v>43.50217942095172</c:v>
                </c:pt>
                <c:pt idx="106">
                  <c:v>43.692615998352395</c:v>
                </c:pt>
                <c:pt idx="107">
                  <c:v>43.881606492301209</c:v>
                </c:pt>
                <c:pt idx="108">
                  <c:v>44.069176431788783</c:v>
                </c:pt>
                <c:pt idx="109">
                  <c:v>44.255350665668146</c:v>
                </c:pt>
                <c:pt idx="110">
                  <c:v>44.440153386816093</c:v>
                </c:pt>
                <c:pt idx="111">
                  <c:v>44.623608155225071</c:v>
                </c:pt>
                <c:pt idx="112">
                  <c:v>44.805737920082336</c:v>
                </c:pt>
                <c:pt idx="113">
                  <c:v>44.986565040889388</c:v>
                </c:pt>
                <c:pt idx="114">
                  <c:v>45.166111307671414</c:v>
                </c:pt>
                <c:pt idx="115">
                  <c:v>45.344397960323455</c:v>
                </c:pt>
                <c:pt idx="116">
                  <c:v>45.521445707137786</c:v>
                </c:pt>
                <c:pt idx="117">
                  <c:v>45.697274742553255</c:v>
                </c:pt>
                <c:pt idx="118">
                  <c:v>45.871904764166146</c:v>
                </c:pt>
                <c:pt idx="119">
                  <c:v>46.045354989038955</c:v>
                </c:pt>
                <c:pt idx="120">
                  <c:v>46.21764416934181</c:v>
                </c:pt>
                <c:pt idx="121">
                  <c:v>46.38879060735924</c:v>
                </c:pt>
                <c:pt idx="122">
                  <c:v>46.558812169892803</c:v>
                </c:pt>
                <c:pt idx="123">
                  <c:v>46.727726302088854</c:v>
                </c:pt>
                <c:pt idx="124">
                  <c:v>46.895550040718895</c:v>
                </c:pt>
                <c:pt idx="125">
                  <c:v>47.062300026938139</c:v>
                </c:pt>
                <c:pt idx="126">
                  <c:v>47.227992518547168</c:v>
                </c:pt>
                <c:pt idx="127">
                  <c:v>47.392643401779424</c:v>
                </c:pt>
                <c:pt idx="128">
                  <c:v>47.55626820263673</c:v>
                </c:pt>
                <c:pt idx="129">
                  <c:v>47.718882097793468</c:v>
                </c:pt>
                <c:pt idx="130">
                  <c:v>47.88049992508892</c:v>
                </c:pt>
                <c:pt idx="131">
                  <c:v>48.041136193626656</c:v>
                </c:pt>
                <c:pt idx="132">
                  <c:v>48.200805093498182</c:v>
                </c:pt>
                <c:pt idx="133">
                  <c:v>48.359520505147835</c:v>
                </c:pt>
                <c:pt idx="134">
                  <c:v>48.517296008394702</c:v>
                </c:pt>
                <c:pt idx="135">
                  <c:v>48.674144891126559</c:v>
                </c:pt>
                <c:pt idx="136">
                  <c:v>48.830080157679902</c:v>
                </c:pt>
                <c:pt idx="137">
                  <c:v>48.985114536920051</c:v>
                </c:pt>
                <c:pt idx="138">
                  <c:v>49.13926049003382</c:v>
                </c:pt>
                <c:pt idx="139">
                  <c:v>49.292530218046913</c:v>
                </c:pt>
                <c:pt idx="140">
                  <c:v>49.44493566907807</c:v>
                </c:pt>
                <c:pt idx="141">
                  <c:v>49.596488545340598</c:v>
                </c:pt>
                <c:pt idx="142">
                  <c:v>49.747200309902105</c:v>
                </c:pt>
                <c:pt idx="143">
                  <c:v>49.897082193212093</c:v>
                </c:pt>
                <c:pt idx="144">
                  <c:v>50.046145199407349</c:v>
                </c:pt>
                <c:pt idx="145">
                  <c:v>50.19440011240377</c:v>
                </c:pt>
                <c:pt idx="146">
                  <c:v>50.341857501783636</c:v>
                </c:pt>
                <c:pt idx="147">
                  <c:v>50.488527728486396</c:v>
                </c:pt>
                <c:pt idx="148">
                  <c:v>50.634420950310627</c:v>
                </c:pt>
                <c:pt idx="149">
                  <c:v>50.779547127235027</c:v>
                </c:pt>
                <c:pt idx="150">
                  <c:v>50.923916026565273</c:v>
                </c:pt>
                <c:pt idx="151">
                  <c:v>51.06753722791381</c:v>
                </c:pt>
                <c:pt idx="152">
                  <c:v>51.210420128018683</c:v>
                </c:pt>
                <c:pt idx="153">
                  <c:v>51.352573945408139</c:v>
                </c:pt>
                <c:pt idx="154">
                  <c:v>51.494007724916457</c:v>
                </c:pt>
                <c:pt idx="155">
                  <c:v>51.634730342056884</c:v>
                </c:pt>
                <c:pt idx="156">
                  <c:v>51.774750507257274</c:v>
                </c:pt>
                <c:pt idx="157">
                  <c:v>51.914076769963081</c:v>
                </c:pt>
                <c:pt idx="158">
                  <c:v>52.05271752261325</c:v>
                </c:pt>
                <c:pt idx="159">
                  <c:v>52.190681004493278</c:v>
                </c:pt>
                <c:pt idx="160">
                  <c:v>52.327975305470311</c:v>
                </c:pt>
                <c:pt idx="161">
                  <c:v>52.464608369614353</c:v>
                </c:pt>
                <c:pt idx="162">
                  <c:v>52.600587998709813</c:v>
                </c:pt>
                <c:pt idx="163">
                  <c:v>52.735921855661623</c:v>
                </c:pt>
                <c:pt idx="164">
                  <c:v>52.870617467799164</c:v>
                </c:pt>
                <c:pt idx="165">
                  <c:v>53.004682230082281</c:v>
                </c:pt>
                <c:pt idx="166">
                  <c:v>53.138123408212401</c:v>
                </c:pt>
                <c:pt idx="167">
                  <c:v>53.270948141652362</c:v>
                </c:pt>
                <c:pt idx="168">
                  <c:v>53.403163446558182</c:v>
                </c:pt>
                <c:pt idx="169">
                  <c:v>53.53477621862551</c:v>
                </c:pt>
                <c:pt idx="170">
                  <c:v>53.665793235854302</c:v>
                </c:pt>
                <c:pt idx="171">
                  <c:v>53.796221161233873</c:v>
                </c:pt>
                <c:pt idx="172">
                  <c:v>53.926066545351702</c:v>
                </c:pt>
                <c:pt idx="173">
                  <c:v>54.055335828928115</c:v>
                </c:pt>
                <c:pt idx="174">
                  <c:v>54.184035345279518</c:v>
                </c:pt>
                <c:pt idx="175">
                  <c:v>54.312171322712786</c:v>
                </c:pt>
                <c:pt idx="176">
                  <c:v>54.439749886852844</c:v>
                </c:pt>
                <c:pt idx="177">
                  <c:v>54.566777062905636</c:v>
                </c:pt>
                <c:pt idx="178">
                  <c:v>54.693258777859072</c:v>
                </c:pt>
                <c:pt idx="179">
                  <c:v>54.819200862623362</c:v>
                </c:pt>
                <c:pt idx="180">
                  <c:v>54.944609054113293</c:v>
                </c:pt>
                <c:pt idx="181">
                  <c:v>55.069488997273936</c:v>
                </c:pt>
                <c:pt idx="182">
                  <c:v>55.19384624705198</c:v>
                </c:pt>
                <c:pt idx="183">
                  <c:v>55.317686270313949</c:v>
                </c:pt>
                <c:pt idx="184">
                  <c:v>55.441014447713634</c:v>
                </c:pt>
                <c:pt idx="185">
                  <c:v>55.563836075509897</c:v>
                </c:pt>
                <c:pt idx="186">
                  <c:v>55.686156367336451</c:v>
                </c:pt>
                <c:pt idx="187">
                  <c:v>55.807980455925438</c:v>
                </c:pt>
                <c:pt idx="188">
                  <c:v>55.929313394785964</c:v>
                </c:pt>
                <c:pt idx="189">
                  <c:v>56.050160159839109</c:v>
                </c:pt>
                <c:pt idx="190">
                  <c:v>56.170525651010728</c:v>
                </c:pt>
                <c:pt idx="191">
                  <c:v>56.290414693783383</c:v>
                </c:pt>
                <c:pt idx="192">
                  <c:v>56.409832040708785</c:v>
                </c:pt>
                <c:pt idx="193">
                  <c:v>56.528782372881558</c:v>
                </c:pt>
                <c:pt idx="194">
                  <c:v>56.647270301375961</c:v>
                </c:pt>
                <c:pt idx="195">
                  <c:v>56.765300368646464</c:v>
                </c:pt>
                <c:pt idx="196">
                  <c:v>56.882877049893281</c:v>
                </c:pt>
                <c:pt idx="197">
                  <c:v>57.000004754393856</c:v>
                </c:pt>
                <c:pt idx="198">
                  <c:v>57.116687826801538</c:v>
                </c:pt>
                <c:pt idx="199">
                  <c:v>57.232930548412099</c:v>
                </c:pt>
                <c:pt idx="200">
                  <c:v>57.348737138399365</c:v>
                </c:pt>
                <c:pt idx="201">
                  <c:v>57.464111755020561</c:v>
                </c:pt>
                <c:pt idx="202">
                  <c:v>57.579058496792577</c:v>
                </c:pt>
                <c:pt idx="203">
                  <c:v>57.693581403639726</c:v>
                </c:pt>
                <c:pt idx="204">
                  <c:v>57.807684458013888</c:v>
                </c:pt>
                <c:pt idx="205">
                  <c:v>57.921371585987998</c:v>
                </c:pt>
                <c:pt idx="206">
                  <c:v>58.034646658323453</c:v>
                </c:pt>
                <c:pt idx="207">
                  <c:v>58.1475134915122</c:v>
                </c:pt>
                <c:pt idx="208">
                  <c:v>58.259975848794362</c:v>
                </c:pt>
                <c:pt idx="209">
                  <c:v>58.372037441151896</c:v>
                </c:pt>
                <c:pt idx="210">
                  <c:v>58.483701928279153</c:v>
                </c:pt>
                <c:pt idx="211">
                  <c:v>58.594972919530868</c:v>
                </c:pt>
                <c:pt idx="212">
                  <c:v>58.705853974848232</c:v>
                </c:pt>
                <c:pt idx="213">
                  <c:v>58.816348605663563</c:v>
                </c:pt>
                <c:pt idx="214">
                  <c:v>58.926460275784436</c:v>
                </c:pt>
                <c:pt idx="215">
                  <c:v>59.036192402257605</c:v>
                </c:pt>
                <c:pt idx="216">
                  <c:v>59.145548356213126</c:v>
                </c:pt>
                <c:pt idx="217">
                  <c:v>59.254531463689737</c:v>
                </c:pt>
                <c:pt idx="218">
                  <c:v>59.363145006441407</c:v>
                </c:pt>
                <c:pt idx="219">
                  <c:v>59.471392222726074</c:v>
                </c:pt>
                <c:pt idx="220">
                  <c:v>59.579276308076572</c:v>
                </c:pt>
                <c:pt idx="221">
                  <c:v>59.686800416054673</c:v>
                </c:pt>
                <c:pt idx="222">
                  <c:v>59.79396765898835</c:v>
                </c:pt>
                <c:pt idx="223">
                  <c:v>59.90078110869284</c:v>
                </c:pt>
                <c:pt idx="224">
                  <c:v>60.00724379717613</c:v>
                </c:pt>
                <c:pt idx="225">
                  <c:v>60.113358717328744</c:v>
                </c:pt>
                <c:pt idx="226">
                  <c:v>60.21912882359883</c:v>
                </c:pt>
                <c:pt idx="227">
                  <c:v>60.32455703265267</c:v>
                </c:pt>
                <c:pt idx="228">
                  <c:v>60.429646224020736</c:v>
                </c:pt>
                <c:pt idx="229">
                  <c:v>60.534399240730302</c:v>
                </c:pt>
                <c:pt idx="230">
                  <c:v>60.638818889924281</c:v>
                </c:pt>
                <c:pt idx="231">
                  <c:v>60.742907943467031</c:v>
                </c:pt>
                <c:pt idx="232">
                  <c:v>60.846669138537386</c:v>
                </c:pt>
                <c:pt idx="233">
                  <c:v>60.950105178209213</c:v>
                </c:pt>
                <c:pt idx="234">
                  <c:v>61.053218732019772</c:v>
                </c:pt>
                <c:pt idx="235">
                  <c:v>61.156012436526318</c:v>
                </c:pt>
                <c:pt idx="236">
                  <c:v>61.258488895850924</c:v>
                </c:pt>
                <c:pt idx="237">
                  <c:v>61.360650682214413</c:v>
                </c:pt>
                <c:pt idx="238">
                  <c:v>61.462500336458895</c:v>
                </c:pt>
                <c:pt idx="239">
                  <c:v>61.564040368559837</c:v>
                </c:pt>
                <c:pt idx="240">
                  <c:v>61.665273258127669</c:v>
                </c:pt>
                <c:pt idx="241">
                  <c:v>61.766201454899075</c:v>
                </c:pt>
                <c:pt idx="242">
                  <c:v>61.866827379218414</c:v>
                </c:pt>
                <c:pt idx="243">
                  <c:v>62.018712934241599</c:v>
                </c:pt>
                <c:pt idx="244">
                  <c:v>62.119028484238896</c:v>
                </c:pt>
                <c:pt idx="245">
                  <c:v>62.219049410377117</c:v>
                </c:pt>
                <c:pt idx="246">
                  <c:v>62.318778010754478</c:v>
                </c:pt>
                <c:pt idx="247">
                  <c:v>62.418216556471506</c:v>
                </c:pt>
                <c:pt idx="248">
                  <c:v>62.517367292055312</c:v>
                </c:pt>
                <c:pt idx="249">
                  <c:v>62.616232435875908</c:v>
                </c:pt>
                <c:pt idx="250">
                  <c:v>62.714814180554313</c:v>
                </c:pt>
              </c:numCache>
            </c:numRef>
          </c:yVal>
          <c:smooth val="1"/>
        </c:ser>
        <c:ser>
          <c:idx val="17"/>
          <c:order val="17"/>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hx!$X$5:$X$255</c:f>
              <c:numCache>
                <c:formatCode>0.00</c:formatCode>
                <c:ptCount val="251"/>
                <c:pt idx="1">
                  <c:v>-26.647265279912258</c:v>
                </c:pt>
                <c:pt idx="2">
                  <c:v>-19.566864702167415</c:v>
                </c:pt>
                <c:pt idx="3">
                  <c:v>-15.234770290811769</c:v>
                </c:pt>
                <c:pt idx="4">
                  <c:v>-12.0707681048357</c:v>
                </c:pt>
                <c:pt idx="5">
                  <c:v>-9.5628002776159722</c:v>
                </c:pt>
                <c:pt idx="6">
                  <c:v>-7.4776272209782038</c:v>
                </c:pt>
                <c:pt idx="7">
                  <c:v>-5.6886780839450353</c:v>
                </c:pt>
                <c:pt idx="8">
                  <c:v>-4.1193331033483531</c:v>
                </c:pt>
                <c:pt idx="9">
                  <c:v>-2.719578147972185</c:v>
                </c:pt>
                <c:pt idx="10">
                  <c:v>-1.4549075012124724</c:v>
                </c:pt>
                <c:pt idx="11">
                  <c:v>-0.30048201381628514</c:v>
                </c:pt>
                <c:pt idx="12">
                  <c:v>0.86447995671203026</c:v>
                </c:pt>
                <c:pt idx="13">
                  <c:v>1.9831206704485944</c:v>
                </c:pt>
                <c:pt idx="14">
                  <c:v>3.0284032747431899</c:v>
                </c:pt>
                <c:pt idx="15">
                  <c:v>4.0099566247435234</c:v>
                </c:pt>
                <c:pt idx="16">
                  <c:v>4.9356019678401015</c:v>
                </c:pt>
                <c:pt idx="17">
                  <c:v>5.8117819632329386</c:v>
                </c:pt>
                <c:pt idx="18">
                  <c:v>6.6438690340783335</c:v>
                </c:pt>
                <c:pt idx="19">
                  <c:v>7.436391716590034</c:v>
                </c:pt>
                <c:pt idx="20">
                  <c:v>8.1932039233597642</c:v>
                </c:pt>
                <c:pt idx="21">
                  <c:v>8.9176136144914011</c:v>
                </c:pt>
                <c:pt idx="22">
                  <c:v>9.6124820554982833</c:v>
                </c:pt>
                <c:pt idx="23">
                  <c:v>10.280301399974405</c:v>
                </c:pt>
                <c:pt idx="24">
                  <c:v>10.923256055251191</c:v>
                </c:pt>
                <c:pt idx="25">
                  <c:v>11.543271747164653</c:v>
                </c:pt>
                <c:pt idx="26">
                  <c:v>12.142055137281975</c:v>
                </c:pt>
                <c:pt idx="27">
                  <c:v>12.721126100957571</c:v>
                </c:pt>
                <c:pt idx="28">
                  <c:v>13.281844244232285</c:v>
                </c:pt>
                <c:pt idx="29">
                  <c:v>13.825430854637808</c:v>
                </c:pt>
                <c:pt idx="30">
                  <c:v>14.352987200826107</c:v>
                </c:pt>
                <c:pt idx="31">
                  <c:v>14.865509888533696</c:v>
                </c:pt>
                <c:pt idx="32">
                  <c:v>15.363903825112754</c:v>
                </c:pt>
                <c:pt idx="33">
                  <c:v>15.848993227405712</c:v>
                </c:pt>
                <c:pt idx="34">
                  <c:v>16.321531018037689</c:v>
                </c:pt>
                <c:pt idx="35">
                  <c:v>16.782206886076828</c:v>
                </c:pt>
                <c:pt idx="36">
                  <c:v>17.231654234297789</c:v>
                </c:pt>
                <c:pt idx="37">
                  <c:v>17.670456193213948</c:v>
                </c:pt>
                <c:pt idx="38">
                  <c:v>18.099150848850172</c:v>
                </c:pt>
                <c:pt idx="39">
                  <c:v>18.518235804855998</c:v>
                </c:pt>
                <c:pt idx="40">
                  <c:v>18.928172178467918</c:v>
                </c:pt>
                <c:pt idx="41">
                  <c:v>19.329388112858805</c:v>
                </c:pt>
                <c:pt idx="42">
                  <c:v>19.722281874675211</c:v>
                </c:pt>
                <c:pt idx="43">
                  <c:v>20.107224594383364</c:v>
                </c:pt>
                <c:pt idx="44">
                  <c:v>20.484562697896884</c:v>
                </c:pt>
                <c:pt idx="45">
                  <c:v>20.854620070437285</c:v>
                </c:pt>
                <c:pt idx="46">
                  <c:v>21.217699987363524</c:v>
                </c:pt>
                <c:pt idx="47">
                  <c:v>21.57408684154904</c:v>
                </c:pt>
                <c:pt idx="48">
                  <c:v>21.92404769258529</c:v>
                </c:pt>
                <c:pt idx="49">
                  <c:v>22.267833659492407</c:v>
                </c:pt>
                <c:pt idx="50">
                  <c:v>22.605681175593666</c:v>
                </c:pt>
                <c:pt idx="51">
                  <c:v>22.937813121660469</c:v>
                </c:pt>
                <c:pt idx="52">
                  <c:v>23.264439851275128</c:v>
                </c:pt>
                <c:pt idx="53">
                  <c:v>23.585760120525464</c:v>
                </c:pt>
                <c:pt idx="54">
                  <c:v>23.901961932581781</c:v>
                </c:pt>
                <c:pt idx="55">
                  <c:v>24.213223306371027</c:v>
                </c:pt>
                <c:pt idx="56">
                  <c:v>24.519712977416923</c:v>
                </c:pt>
                <c:pt idx="57">
                  <c:v>24.821591037928918</c:v>
                </c:pt>
                <c:pt idx="58">
                  <c:v>25.119009522373183</c:v>
                </c:pt>
                <c:pt idx="59">
                  <c:v>25.412112944023079</c:v>
                </c:pt>
                <c:pt idx="60">
                  <c:v>25.70103878734934</c:v>
                </c:pt>
                <c:pt idx="61">
                  <c:v>25.985917960555568</c:v>
                </c:pt>
                <c:pt idx="62">
                  <c:v>26.266875212081462</c:v>
                </c:pt>
                <c:pt idx="63">
                  <c:v>26.544029514474694</c:v>
                </c:pt>
                <c:pt idx="64">
                  <c:v>26.817494418662058</c:v>
                </c:pt>
                <c:pt idx="65">
                  <c:v>27.087378381326982</c:v>
                </c:pt>
                <c:pt idx="66">
                  <c:v>27.353785067814936</c:v>
                </c:pt>
                <c:pt idx="67">
                  <c:v>27.616813632737088</c:v>
                </c:pt>
                <c:pt idx="68">
                  <c:v>27.876558980220906</c:v>
                </c:pt>
                <c:pt idx="69">
                  <c:v>28.133112005559909</c:v>
                </c:pt>
                <c:pt idx="70">
                  <c:v>28.386559819840958</c:v>
                </c:pt>
                <c:pt idx="71">
                  <c:v>28.636985958972989</c:v>
                </c:pt>
                <c:pt idx="72">
                  <c:v>28.884470578403729</c:v>
                </c:pt>
                <c:pt idx="73">
                  <c:v>29.129090634688509</c:v>
                </c:pt>
                <c:pt idx="74">
                  <c:v>29.370920054965929</c:v>
                </c:pt>
                <c:pt idx="75">
                  <c:v>29.610029895297725</c:v>
                </c:pt>
                <c:pt idx="76">
                  <c:v>29.846488488742381</c:v>
                </c:pt>
                <c:pt idx="77">
                  <c:v>30.080361583953888</c:v>
                </c:pt>
                <c:pt idx="78">
                  <c:v>30.311712475026514</c:v>
                </c:pt>
                <c:pt idx="79">
                  <c:v>30.540602123243076</c:v>
                </c:pt>
                <c:pt idx="80">
                  <c:v>30.767089271327212</c:v>
                </c:pt>
                <c:pt idx="81">
                  <c:v>30.991230550748718</c:v>
                </c:pt>
                <c:pt idx="82">
                  <c:v>31.213080582584404</c:v>
                </c:pt>
                <c:pt idx="83">
                  <c:v>31.432692072395195</c:v>
                </c:pt>
                <c:pt idx="84">
                  <c:v>31.650115899541802</c:v>
                </c:pt>
                <c:pt idx="85">
                  <c:v>31.865401201327142</c:v>
                </c:pt>
                <c:pt idx="86">
                  <c:v>32.078595452322048</c:v>
                </c:pt>
                <c:pt idx="87">
                  <c:v>32.289744539202772</c:v>
                </c:pt>
                <c:pt idx="88">
                  <c:v>32.498892831402472</c:v>
                </c:pt>
                <c:pt idx="89">
                  <c:v>32.706083247855716</c:v>
                </c:pt>
                <c:pt idx="90">
                  <c:v>32.911357320093146</c:v>
                </c:pt>
                <c:pt idx="91">
                  <c:v>33.11475525192423</c:v>
                </c:pt>
                <c:pt idx="92">
                  <c:v>33.316315975927864</c:v>
                </c:pt>
                <c:pt idx="93">
                  <c:v>33.516077206954229</c:v>
                </c:pt>
                <c:pt idx="94">
                  <c:v>33.714075492826296</c:v>
                </c:pt>
                <c:pt idx="95">
                  <c:v>33.910346262415814</c:v>
                </c:pt>
                <c:pt idx="96">
                  <c:v>34.104923871255707</c:v>
                </c:pt>
                <c:pt idx="97">
                  <c:v>34.29784164483938</c:v>
                </c:pt>
                <c:pt idx="98">
                  <c:v>34.489131919746825</c:v>
                </c:pt>
                <c:pt idx="99">
                  <c:v>34.67882608272761</c:v>
                </c:pt>
                <c:pt idx="100">
                  <c:v>34.866954607861643</c:v>
                </c:pt>
                <c:pt idx="101">
                  <c:v>35.053547091910616</c:v>
                </c:pt>
                <c:pt idx="102">
                  <c:v>35.238632287965132</c:v>
                </c:pt>
                <c:pt idx="103">
                  <c:v>35.422238137485451</c:v>
                </c:pt>
                <c:pt idx="104">
                  <c:v>35.604391800827514</c:v>
                </c:pt>
                <c:pt idx="105">
                  <c:v>35.785119686339456</c:v>
                </c:pt>
                <c:pt idx="106">
                  <c:v>35.964447478108681</c:v>
                </c:pt>
                <c:pt idx="107">
                  <c:v>36.142400162434051</c:v>
                </c:pt>
                <c:pt idx="108">
                  <c:v>36.319002053093122</c:v>
                </c:pt>
                <c:pt idx="109">
                  <c:v>36.494276815469917</c:v>
                </c:pt>
                <c:pt idx="110">
                  <c:v>36.668247489604525</c:v>
                </c:pt>
                <c:pt idx="111">
                  <c:v>36.840936512222044</c:v>
                </c:pt>
                <c:pt idx="112">
                  <c:v>37.012365737794752</c:v>
                </c:pt>
                <c:pt idx="113">
                  <c:v>37.182556458688467</c:v>
                </c:pt>
                <c:pt idx="114">
                  <c:v>37.351529424440088</c:v>
                </c:pt>
                <c:pt idx="115">
                  <c:v>37.519304860211555</c:v>
                </c:pt>
                <c:pt idx="116">
                  <c:v>37.685902484462048</c:v>
                </c:pt>
                <c:pt idx="117">
                  <c:v>37.851341525877878</c:v>
                </c:pt>
                <c:pt idx="118">
                  <c:v>38.0156407395976</c:v>
                </c:pt>
                <c:pt idx="119">
                  <c:v>38.178818422766952</c:v>
                </c:pt>
                <c:pt idx="120">
                  <c:v>38.340892429457128</c:v>
                </c:pt>
                <c:pt idx="121">
                  <c:v>38.501880184977225</c:v>
                </c:pt>
                <c:pt idx="122">
                  <c:v>38.661798699610358</c:v>
                </c:pt>
                <c:pt idx="123">
                  <c:v>38.820664581801182</c:v>
                </c:pt>
                <c:pt idx="124">
                  <c:v>38.978494050820991</c:v>
                </c:pt>
                <c:pt idx="125">
                  <c:v>39.135302948934971</c:v>
                </c:pt>
                <c:pt idx="126">
                  <c:v>39.291106753095292</c:v>
                </c:pt>
                <c:pt idx="127">
                  <c:v>39.44592058618187</c:v>
                </c:pt>
                <c:pt idx="128">
                  <c:v>39.599759227811816</c:v>
                </c:pt>
                <c:pt idx="129">
                  <c:v>39.75263712473722</c:v>
                </c:pt>
                <c:pt idx="130">
                  <c:v>39.90456840085033</c:v>
                </c:pt>
                <c:pt idx="131">
                  <c:v>40.055566866813422</c:v>
                </c:pt>
                <c:pt idx="132">
                  <c:v>40.205646029330545</c:v>
                </c:pt>
                <c:pt idx="133">
                  <c:v>40.354819100076746</c:v>
                </c:pt>
                <c:pt idx="134">
                  <c:v>40.503099004300275</c:v>
                </c:pt>
                <c:pt idx="135">
                  <c:v>40.650498389111718</c:v>
                </c:pt>
                <c:pt idx="136">
                  <c:v>40.797029631473947</c:v>
                </c:pt>
                <c:pt idx="137">
                  <c:v>40.942704845905624</c:v>
                </c:pt>
                <c:pt idx="138">
                  <c:v>41.087535891910704</c:v>
                </c:pt>
                <c:pt idx="139">
                  <c:v>41.231534381145316</c:v>
                </c:pt>
                <c:pt idx="140">
                  <c:v>41.374711684333626</c:v>
                </c:pt>
                <c:pt idx="141">
                  <c:v>41.517078937942522</c:v>
                </c:pt>
                <c:pt idx="142">
                  <c:v>41.658647050625724</c:v>
                </c:pt>
                <c:pt idx="143">
                  <c:v>41.799426709446713</c:v>
                </c:pt>
                <c:pt idx="144">
                  <c:v>41.939428385889286</c:v>
                </c:pt>
                <c:pt idx="145">
                  <c:v>42.078662341664881</c:v>
                </c:pt>
                <c:pt idx="146">
                  <c:v>42.217138634324428</c:v>
                </c:pt>
                <c:pt idx="147">
                  <c:v>42.354867122682897</c:v>
                </c:pt>
                <c:pt idx="148">
                  <c:v>42.491857472063899</c:v>
                </c:pt>
                <c:pt idx="149">
                  <c:v>42.628119159371558</c:v>
                </c:pt>
                <c:pt idx="150">
                  <c:v>42.763661477996301</c:v>
                </c:pt>
                <c:pt idx="151">
                  <c:v>42.898493542561404</c:v>
                </c:pt>
                <c:pt idx="152">
                  <c:v>43.03262429351588</c:v>
                </c:pt>
                <c:pt idx="153">
                  <c:v>43.166062501580527</c:v>
                </c:pt>
                <c:pt idx="154">
                  <c:v>43.298816772051808</c:v>
                </c:pt>
                <c:pt idx="155">
                  <c:v>43.430895548969758</c:v>
                </c:pt>
                <c:pt idx="156">
                  <c:v>43.562307119154674</c:v>
                </c:pt>
                <c:pt idx="157">
                  <c:v>43.693059616117559</c:v>
                </c:pt>
                <c:pt idx="158">
                  <c:v>43.82316102384921</c:v>
                </c:pt>
                <c:pt idx="159">
                  <c:v>43.952619180492285</c:v>
                </c:pt>
                <c:pt idx="160">
                  <c:v>44.081441781900743</c:v>
                </c:pt>
                <c:pt idx="161">
                  <c:v>44.209636385090846</c:v>
                </c:pt>
                <c:pt idx="162">
                  <c:v>44.337210411587577</c:v>
                </c:pt>
                <c:pt idx="163">
                  <c:v>44.464171150670303</c:v>
                </c:pt>
                <c:pt idx="164">
                  <c:v>44.590525762521381</c:v>
                </c:pt>
                <c:pt idx="165">
                  <c:v>44.716281281281056</c:v>
                </c:pt>
                <c:pt idx="166">
                  <c:v>44.841444618012169</c:v>
                </c:pt>
                <c:pt idx="167">
                  <c:v>44.96602256357756</c:v>
                </c:pt>
                <c:pt idx="168">
                  <c:v>45.090021791433713</c:v>
                </c:pt>
                <c:pt idx="169">
                  <c:v>45.213448860343021</c:v>
                </c:pt>
                <c:pt idx="170">
                  <c:v>45.336310217007927</c:v>
                </c:pt>
                <c:pt idx="171">
                  <c:v>45.45861219862941</c:v>
                </c:pt>
                <c:pt idx="172">
                  <c:v>45.580361035392571</c:v>
                </c:pt>
                <c:pt idx="173">
                  <c:v>45.701562852881715</c:v>
                </c:pt>
                <c:pt idx="174">
                  <c:v>45.8222236744272</c:v>
                </c:pt>
                <c:pt idx="175">
                  <c:v>45.942349423386673</c:v>
                </c:pt>
                <c:pt idx="176">
                  <c:v>46.0619459253626</c:v>
                </c:pt>
                <c:pt idx="177">
                  <c:v>46.181018910358411</c:v>
                </c:pt>
                <c:pt idx="178">
                  <c:v>46.299574014875148</c:v>
                </c:pt>
                <c:pt idx="179">
                  <c:v>46.417616783950749</c:v>
                </c:pt>
                <c:pt idx="180">
                  <c:v>46.535152673143578</c:v>
                </c:pt>
                <c:pt idx="181">
                  <c:v>46.652187050462402</c:v>
                </c:pt>
                <c:pt idx="182">
                  <c:v>46.768725198244212</c:v>
                </c:pt>
                <c:pt idx="183">
                  <c:v>46.884772314981795</c:v>
                </c:pt>
                <c:pt idx="184">
                  <c:v>47.000333517102483</c:v>
                </c:pt>
                <c:pt idx="185">
                  <c:v>47.115413840699787</c:v>
                </c:pt>
                <c:pt idx="186">
                  <c:v>47.230018243219448</c:v>
                </c:pt>
                <c:pt idx="187">
                  <c:v>47.344151605101111</c:v>
                </c:pt>
                <c:pt idx="188">
                  <c:v>47.457818731377245</c:v>
                </c:pt>
                <c:pt idx="189">
                  <c:v>47.571024353230627</c:v>
                </c:pt>
                <c:pt idx="190">
                  <c:v>47.68377312951143</c:v>
                </c:pt>
                <c:pt idx="191">
                  <c:v>47.796069648215614</c:v>
                </c:pt>
                <c:pt idx="192">
                  <c:v>47.907918427925274</c:v>
                </c:pt>
                <c:pt idx="193">
                  <c:v>48.01932391921266</c:v>
                </c:pt>
                <c:pt idx="194">
                  <c:v>48.130290506008386</c:v>
                </c:pt>
                <c:pt idx="195">
                  <c:v>48.240822506935558</c:v>
                </c:pt>
                <c:pt idx="196">
                  <c:v>48.35092417661032</c:v>
                </c:pt>
                <c:pt idx="197">
                  <c:v>48.460599706909946</c:v>
                </c:pt>
                <c:pt idx="198">
                  <c:v>48.569853228209794</c:v>
                </c:pt>
                <c:pt idx="199">
                  <c:v>48.678688810589534</c:v>
                </c:pt>
                <c:pt idx="200">
                  <c:v>48.787110465009867</c:v>
                </c:pt>
                <c:pt idx="201">
                  <c:v>48.895122144460522</c:v>
                </c:pt>
                <c:pt idx="202">
                  <c:v>49.002727745080527</c:v>
                </c:pt>
                <c:pt idx="203">
                  <c:v>49.109931107251171</c:v>
                </c:pt>
                <c:pt idx="204">
                  <c:v>49.216736016662814</c:v>
                </c:pt>
                <c:pt idx="205">
                  <c:v>49.323146205356238</c:v>
                </c:pt>
                <c:pt idx="206">
                  <c:v>49.429165352739091</c:v>
                </c:pt>
                <c:pt idx="207">
                  <c:v>49.534797086578308</c:v>
                </c:pt>
                <c:pt idx="208">
                  <c:v>49.640044983969197</c:v>
                </c:pt>
                <c:pt idx="209">
                  <c:v>49.744912572281599</c:v>
                </c:pt>
                <c:pt idx="210">
                  <c:v>49.849403330084108</c:v>
                </c:pt>
                <c:pt idx="211">
                  <c:v>49.953520688046886</c:v>
                </c:pt>
                <c:pt idx="212">
                  <c:v>50.057268029823298</c:v>
                </c:pt>
                <c:pt idx="213">
                  <c:v>50.160648692911593</c:v>
                </c:pt>
                <c:pt idx="214">
                  <c:v>50.263665969496586</c:v>
                </c:pt>
                <c:pt idx="215">
                  <c:v>50.366323107272301</c:v>
                </c:pt>
                <c:pt idx="216">
                  <c:v>50.468623310245817</c:v>
                </c:pt>
                <c:pt idx="217">
                  <c:v>50.570569739523059</c:v>
                </c:pt>
                <c:pt idx="218">
                  <c:v>50.672165514076831</c:v>
                </c:pt>
                <c:pt idx="219">
                  <c:v>50.773413711497703</c:v>
                </c:pt>
                <c:pt idx="220">
                  <c:v>50.874317368728128</c:v>
                </c:pt>
                <c:pt idx="221">
                  <c:v>50.974879482780331</c:v>
                </c:pt>
                <c:pt idx="222">
                  <c:v>51.075103011438216</c:v>
                </c:pt>
                <c:pt idx="223">
                  <c:v>51.174990873944012</c:v>
                </c:pt>
                <c:pt idx="224">
                  <c:v>51.274545951669708</c:v>
                </c:pt>
                <c:pt idx="225">
                  <c:v>51.373771088774042</c:v>
                </c:pt>
                <c:pt idx="226">
                  <c:v>51.472669092845031</c:v>
                </c:pt>
                <c:pt idx="227">
                  <c:v>51.571242735528848</c:v>
                </c:pt>
                <c:pt idx="228">
                  <c:v>51.669494753144939</c:v>
                </c:pt>
                <c:pt idx="229">
                  <c:v>51.767427847288168</c:v>
                </c:pt>
                <c:pt idx="230">
                  <c:v>51.865044685418056</c:v>
                </c:pt>
                <c:pt idx="231">
                  <c:v>51.962347901435407</c:v>
                </c:pt>
                <c:pt idx="232">
                  <c:v>52.059340096246977</c:v>
                </c:pt>
                <c:pt idx="233">
                  <c:v>52.156023838318021</c:v>
                </c:pt>
                <c:pt idx="234">
                  <c:v>52.252401664213352</c:v>
                </c:pt>
                <c:pt idx="235">
                  <c:v>52.348476079127288</c:v>
                </c:pt>
                <c:pt idx="236">
                  <c:v>52.444249557402223</c:v>
                </c:pt>
                <c:pt idx="237">
                  <c:v>52.539724543036854</c:v>
                </c:pt>
                <c:pt idx="238">
                  <c:v>52.63490345018365</c:v>
                </c:pt>
                <c:pt idx="239">
                  <c:v>52.729788663636249</c:v>
                </c:pt>
                <c:pt idx="240">
                  <c:v>52.824382539306896</c:v>
                </c:pt>
                <c:pt idx="241">
                  <c:v>52.918687404694154</c:v>
                </c:pt>
                <c:pt idx="242">
                  <c:v>53.012705559341136</c:v>
                </c:pt>
                <c:pt idx="243">
                  <c:v>53.106439275284409</c:v>
                </c:pt>
                <c:pt idx="244">
                  <c:v>53.199890797494078</c:v>
                </c:pt>
                <c:pt idx="245">
                  <c:v>53.293062344304893</c:v>
                </c:pt>
                <c:pt idx="246">
                  <c:v>53.385956107838815</c:v>
                </c:pt>
                <c:pt idx="247">
                  <c:v>53.478574254419158</c:v>
                </c:pt>
                <c:pt idx="248">
                  <c:v>53.570918924976681</c:v>
                </c:pt>
                <c:pt idx="249">
                  <c:v>53.662992235447469</c:v>
                </c:pt>
                <c:pt idx="250">
                  <c:v>53.754796277163209</c:v>
                </c:pt>
              </c:numCache>
            </c:numRef>
          </c:yVal>
          <c:smooth val="1"/>
        </c:ser>
        <c:ser>
          <c:idx val="18"/>
          <c:order val="18"/>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hx!$Y$5:$Y$255</c:f>
              <c:numCache>
                <c:formatCode>0.00</c:formatCode>
                <c:ptCount val="251"/>
                <c:pt idx="1">
                  <c:v>-29.473755753390623</c:v>
                </c:pt>
                <c:pt idx="2">
                  <c:v>-22.556849068254291</c:v>
                </c:pt>
                <c:pt idx="3">
                  <c:v>-18.327262090805178</c:v>
                </c:pt>
                <c:pt idx="4">
                  <c:v>-15.239368242238786</c:v>
                </c:pt>
                <c:pt idx="5">
                  <c:v>-12.792501577109498</c:v>
                </c:pt>
                <c:pt idx="6">
                  <c:v>-10.758668473668321</c:v>
                </c:pt>
                <c:pt idx="7">
                  <c:v>-9.0141689065532695</c:v>
                </c:pt>
                <c:pt idx="8">
                  <c:v>-7.4841329740838676</c:v>
                </c:pt>
                <c:pt idx="9">
                  <c:v>-6.1196954856737165</c:v>
                </c:pt>
                <c:pt idx="10">
                  <c:v>-4.8871474559553025</c:v>
                </c:pt>
                <c:pt idx="11">
                  <c:v>-3.7622258708304028</c:v>
                </c:pt>
                <c:pt idx="12">
                  <c:v>-2.7268686964687419</c:v>
                </c:pt>
                <c:pt idx="13">
                  <c:v>-1.76725711216117</c:v>
                </c:pt>
                <c:pt idx="14">
                  <c:v>-0.87257611066571306</c:v>
                </c:pt>
                <c:pt idx="15">
                  <c:v>-3.4198174023096328E-2</c:v>
                </c:pt>
                <c:pt idx="16">
                  <c:v>0.85617812052743147</c:v>
                </c:pt>
                <c:pt idx="17">
                  <c:v>1.7025445218954758</c:v>
                </c:pt>
                <c:pt idx="18">
                  <c:v>2.5061878133936792</c:v>
                </c:pt>
                <c:pt idx="19">
                  <c:v>3.2714995854121014</c:v>
                </c:pt>
                <c:pt idx="20">
                  <c:v>4.0022168686342665</c:v>
                </c:pt>
                <c:pt idx="21">
                  <c:v>4.7015470234747063</c:v>
                </c:pt>
                <c:pt idx="22">
                  <c:v>5.3722640729190347</c:v>
                </c:pt>
                <c:pt idx="23">
                  <c:v>6.0167839930560882</c:v>
                </c:pt>
                <c:pt idx="24">
                  <c:v>6.6372242613068062</c:v>
                </c:pt>
                <c:pt idx="25">
                  <c:v>7.2354514646913222</c:v>
                </c:pt>
                <c:pt idx="26">
                  <c:v>7.8131197383882958</c:v>
                </c:pt>
                <c:pt idx="27">
                  <c:v>8.3717020814212972</c:v>
                </c:pt>
                <c:pt idx="28">
                  <c:v>8.9125160813325941</c:v>
                </c:pt>
                <c:pt idx="29">
                  <c:v>9.4367452078823426</c:v>
                </c:pt>
                <c:pt idx="30">
                  <c:v>9.9454565638270118</c:v>
                </c:pt>
                <c:pt idx="31">
                  <c:v>10.439615779472087</c:v>
                </c:pt>
                <c:pt idx="32">
                  <c:v>10.920099586954947</c:v>
                </c:pt>
                <c:pt idx="33">
                  <c:v>11.387706496197906</c:v>
                </c:pt>
                <c:pt idx="34">
                  <c:v>11.843165907400071</c:v>
                </c:pt>
                <c:pt idx="35">
                  <c:v>12.287145927843406</c:v>
                </c:pt>
                <c:pt idx="36">
                  <c:v>12.720260108654397</c:v>
                </c:pt>
                <c:pt idx="37">
                  <c:v>13.143073276332693</c:v>
                </c:pt>
                <c:pt idx="38">
                  <c:v>13.556106601644643</c:v>
                </c:pt>
                <c:pt idx="39">
                  <c:v>13.959842022886859</c:v>
                </c:pt>
                <c:pt idx="40">
                  <c:v>14.354726120058617</c:v>
                </c:pt>
                <c:pt idx="41">
                  <c:v>14.741173520013877</c:v>
                </c:pt>
                <c:pt idx="42">
                  <c:v>15.119569899334653</c:v>
                </c:pt>
                <c:pt idx="43">
                  <c:v>15.490274640819717</c:v>
                </c:pt>
                <c:pt idx="44">
                  <c:v>15.853623190607005</c:v>
                </c:pt>
                <c:pt idx="45">
                  <c:v>16.209929155650421</c:v>
                </c:pt>
                <c:pt idx="46">
                  <c:v>16.559486175242512</c:v>
                </c:pt>
                <c:pt idx="47">
                  <c:v>16.902569595270325</c:v>
                </c:pt>
                <c:pt idx="48">
                  <c:v>17.239437969721472</c:v>
                </c:pt>
                <c:pt idx="49">
                  <c:v>17.570334410466341</c:v>
                </c:pt>
                <c:pt idx="50">
                  <c:v>17.895487803409459</c:v>
                </c:pt>
                <c:pt idx="51">
                  <c:v>18.215113906629142</c:v>
                </c:pt>
                <c:pt idx="52">
                  <c:v>18.529416344030665</c:v>
                </c:pt>
                <c:pt idx="53">
                  <c:v>18.83858750625911</c:v>
                </c:pt>
                <c:pt idx="54">
                  <c:v>19.142809369102931</c:v>
                </c:pt>
                <c:pt idx="55">
                  <c:v>19.442254238322398</c:v>
                </c:pt>
                <c:pt idx="56">
                  <c:v>19.737085428726758</c:v>
                </c:pt>
                <c:pt idx="57">
                  <c:v>20.027457884367145</c:v>
                </c:pt>
                <c:pt idx="58">
                  <c:v>20.313518745888516</c:v>
                </c:pt>
                <c:pt idx="59">
                  <c:v>20.595407870370543</c:v>
                </c:pt>
                <c:pt idx="60">
                  <c:v>20.87325830836906</c:v>
                </c:pt>
                <c:pt idx="61">
                  <c:v>21.147196742332255</c:v>
                </c:pt>
                <c:pt idx="62">
                  <c:v>21.417343890097133</c:v>
                </c:pt>
                <c:pt idx="63">
                  <c:v>21.683814876762959</c:v>
                </c:pt>
                <c:pt idx="64">
                  <c:v>21.946719577879556</c:v>
                </c:pt>
                <c:pt idx="65">
                  <c:v>22.206162936574383</c:v>
                </c:pt>
                <c:pt idx="66">
                  <c:v>22.462245256965826</c:v>
                </c:pt>
                <c:pt idx="67">
                  <c:v>22.71506247596616</c:v>
                </c:pt>
                <c:pt idx="68">
                  <c:v>22.964706415363175</c:v>
                </c:pt>
                <c:pt idx="69">
                  <c:v>23.21126501587851</c:v>
                </c:pt>
                <c:pt idx="70">
                  <c:v>23.454822554732846</c:v>
                </c:pt>
                <c:pt idx="71">
                  <c:v>23.69545984809756</c:v>
                </c:pt>
                <c:pt idx="72">
                  <c:v>23.93325443968012</c:v>
                </c:pt>
                <c:pt idx="73">
                  <c:v>24.168280776571024</c:v>
                </c:pt>
                <c:pt idx="74">
                  <c:v>24.400610373374768</c:v>
                </c:pt>
                <c:pt idx="75">
                  <c:v>24.630311965552405</c:v>
                </c:pt>
                <c:pt idx="76">
                  <c:v>24.857451652818476</c:v>
                </c:pt>
                <c:pt idx="77">
                  <c:v>25.082093033359079</c:v>
                </c:pt>
                <c:pt idx="78">
                  <c:v>25.304297329569753</c:v>
                </c:pt>
                <c:pt idx="79">
                  <c:v>25.524123505950172</c:v>
                </c:pt>
                <c:pt idx="80">
                  <c:v>25.741628379737602</c:v>
                </c:pt>
                <c:pt idx="81">
                  <c:v>25.956866724811093</c:v>
                </c:pt>
                <c:pt idx="82">
                  <c:v>26.169891369353287</c:v>
                </c:pt>
                <c:pt idx="83">
                  <c:v>26.380753287716171</c:v>
                </c:pt>
                <c:pt idx="84">
                  <c:v>26.589501686900142</c:v>
                </c:pt>
                <c:pt idx="85">
                  <c:v>26.796184088022148</c:v>
                </c:pt>
                <c:pt idx="86">
                  <c:v>27.000846403118842</c:v>
                </c:pt>
                <c:pt idx="87">
                  <c:v>27.203533007602477</c:v>
                </c:pt>
                <c:pt idx="88">
                  <c:v>27.404286808662707</c:v>
                </c:pt>
                <c:pt idx="89">
                  <c:v>27.603149309884387</c:v>
                </c:pt>
                <c:pt idx="90">
                  <c:v>27.800160672330644</c:v>
                </c:pt>
                <c:pt idx="91">
                  <c:v>27.995359772321613</c:v>
                </c:pt>
                <c:pt idx="92">
                  <c:v>28.18878425612176</c:v>
                </c:pt>
                <c:pt idx="93">
                  <c:v>28.38047059173276</c:v>
                </c:pt>
                <c:pt idx="94">
                  <c:v>28.570454117974698</c:v>
                </c:pt>
                <c:pt idx="95">
                  <c:v>28.758769091024551</c:v>
                </c:pt>
                <c:pt idx="96">
                  <c:v>28.945448728569065</c:v>
                </c:pt>
                <c:pt idx="97">
                  <c:v>29.130525251717902</c:v>
                </c:pt>
                <c:pt idx="98">
                  <c:v>29.314029924812125</c:v>
                </c:pt>
                <c:pt idx="99">
                  <c:v>29.495993093254576</c:v>
                </c:pt>
                <c:pt idx="100">
                  <c:v>29.676444219478828</c:v>
                </c:pt>
                <c:pt idx="101">
                  <c:v>29.855411917166247</c:v>
                </c:pt>
                <c:pt idx="102">
                  <c:v>30.032923983812818</c:v>
                </c:pt>
                <c:pt idx="103">
                  <c:v>30.209007431740616</c:v>
                </c:pt>
                <c:pt idx="104">
                  <c:v>30.383688517642685</c:v>
                </c:pt>
                <c:pt idx="105">
                  <c:v>30.556992770743864</c:v>
                </c:pt>
                <c:pt idx="106">
                  <c:v>30.728945019655033</c:v>
                </c:pt>
                <c:pt idx="107">
                  <c:v>30.899569417993177</c:v>
                </c:pt>
                <c:pt idx="108">
                  <c:v>31.068889468834691</c:v>
                </c:pt>
                <c:pt idx="109">
                  <c:v>31.236928048065646</c:v>
                </c:pt>
                <c:pt idx="110">
                  <c:v>31.403707426688193</c:v>
                </c:pt>
                <c:pt idx="111">
                  <c:v>31.569249292138906</c:v>
                </c:pt>
                <c:pt idx="112">
                  <c:v>31.73357476867119</c:v>
                </c:pt>
                <c:pt idx="113">
                  <c:v>31.896704436850943</c:v>
                </c:pt>
                <c:pt idx="114">
                  <c:v>32.058658352211495</c:v>
                </c:pt>
                <c:pt idx="115">
                  <c:v>32.21945606311094</c:v>
                </c:pt>
                <c:pt idx="116">
                  <c:v>32.379116627832857</c:v>
                </c:pt>
                <c:pt idx="117">
                  <c:v>32.537658630968515</c:v>
                </c:pt>
                <c:pt idx="118">
                  <c:v>32.695100199116681</c:v>
                </c:pt>
                <c:pt idx="119">
                  <c:v>32.851459015934878</c:v>
                </c:pt>
                <c:pt idx="120">
                  <c:v>33.006752336574223</c:v>
                </c:pt>
                <c:pt idx="121">
                  <c:v>33.160997001528045</c:v>
                </c:pt>
                <c:pt idx="122">
                  <c:v>33.314209449922423</c:v>
                </c:pt>
                <c:pt idx="123">
                  <c:v>33.466405732275874</c:v>
                </c:pt>
                <c:pt idx="124">
                  <c:v>33.617601522753311</c:v>
                </c:pt>
                <c:pt idx="125">
                  <c:v>33.767812130938204</c:v>
                </c:pt>
                <c:pt idx="126">
                  <c:v>33.917052513145748</c:v>
                </c:pt>
                <c:pt idx="127">
                  <c:v>34.065337283298248</c:v>
                </c:pt>
                <c:pt idx="128">
                  <c:v>34.212680723383045</c:v>
                </c:pt>
                <c:pt idx="129">
                  <c:v>34.359096793512094</c:v>
                </c:pt>
                <c:pt idx="130">
                  <c:v>34.504599141601453</c:v>
                </c:pt>
                <c:pt idx="131">
                  <c:v>34.649201112687564</c:v>
                </c:pt>
                <c:pt idx="132">
                  <c:v>34.792915757897042</c:v>
                </c:pt>
                <c:pt idx="133">
                  <c:v>34.935755843084884</c:v>
                </c:pt>
                <c:pt idx="134">
                  <c:v>35.077733857156197</c:v>
                </c:pt>
                <c:pt idx="135">
                  <c:v>35.218862020085012</c:v>
                </c:pt>
                <c:pt idx="136">
                  <c:v>35.359152290643479</c:v>
                </c:pt>
                <c:pt idx="137">
                  <c:v>35.498616373853906</c:v>
                </c:pt>
                <c:pt idx="138">
                  <c:v>35.637265728175663</c:v>
                </c:pt>
                <c:pt idx="139">
                  <c:v>35.775111572437986</c:v>
                </c:pt>
                <c:pt idx="140">
                  <c:v>35.912164892529553</c:v>
                </c:pt>
                <c:pt idx="141">
                  <c:v>36.048436447855273</c:v>
                </c:pt>
                <c:pt idx="142">
                  <c:v>36.183936777569393</c:v>
                </c:pt>
                <c:pt idx="143">
                  <c:v>36.318676206594823</c:v>
                </c:pt>
                <c:pt idx="144">
                  <c:v>36.452664851437007</c:v>
                </c:pt>
                <c:pt idx="145">
                  <c:v>36.585912625801001</c:v>
                </c:pt>
                <c:pt idx="146">
                  <c:v>36.718429246019468</c:v>
                </c:pt>
                <c:pt idx="147">
                  <c:v>36.850224236299489</c:v>
                </c:pt>
                <c:pt idx="148">
                  <c:v>36.98130693379521</c:v>
                </c:pt>
                <c:pt idx="149">
                  <c:v>37.111686493513339</c:v>
                </c:pt>
                <c:pt idx="150">
                  <c:v>37.24137189305798</c:v>
                </c:pt>
                <c:pt idx="151">
                  <c:v>37.370371937221329</c:v>
                </c:pt>
                <c:pt idx="152">
                  <c:v>37.498695262425912</c:v>
                </c:pt>
                <c:pt idx="153">
                  <c:v>37.626350341024349</c:v>
                </c:pt>
                <c:pt idx="154">
                  <c:v>37.753345485462035</c:v>
                </c:pt>
                <c:pt idx="155">
                  <c:v>37.879688852307893</c:v>
                </c:pt>
                <c:pt idx="156">
                  <c:v>38.005388446158356</c:v>
                </c:pt>
                <c:pt idx="157">
                  <c:v>38.130452123419239</c:v>
                </c:pt>
                <c:pt idx="158">
                  <c:v>38.254887595970047</c:v>
                </c:pt>
                <c:pt idx="159">
                  <c:v>38.378702434715187</c:v>
                </c:pt>
                <c:pt idx="160">
                  <c:v>38.501904073026189</c:v>
                </c:pt>
                <c:pt idx="161">
                  <c:v>38.624499810079044</c:v>
                </c:pt>
                <c:pt idx="162">
                  <c:v>38.746496814090321</c:v>
                </c:pt>
                <c:pt idx="163">
                  <c:v>38.867902125455863</c:v>
                </c:pt>
                <c:pt idx="164">
                  <c:v>38.988722659795457</c:v>
                </c:pt>
                <c:pt idx="165">
                  <c:v>39.108965210907144</c:v>
                </c:pt>
                <c:pt idx="166">
                  <c:v>39.228636453633818</c:v>
                </c:pt>
                <c:pt idx="167">
                  <c:v>39.347742946645958</c:v>
                </c:pt>
                <c:pt idx="168">
                  <c:v>39.466291135142797</c:v>
                </c:pt>
                <c:pt idx="169">
                  <c:v>39.584287353474977</c:v>
                </c:pt>
                <c:pt idx="170">
                  <c:v>39.701737827691822</c:v>
                </c:pt>
                <c:pt idx="171">
                  <c:v>39.818648678015123</c:v>
                </c:pt>
                <c:pt idx="172">
                  <c:v>39.93502592124257</c:v>
                </c:pt>
                <c:pt idx="173">
                  <c:v>40.050875473082833</c:v>
                </c:pt>
                <c:pt idx="174">
                  <c:v>40.166203150424998</c:v>
                </c:pt>
                <c:pt idx="175">
                  <c:v>40.281014673543993</c:v>
                </c:pt>
                <c:pt idx="176">
                  <c:v>40.395315668245054</c:v>
                </c:pt>
                <c:pt idx="177">
                  <c:v>40.509111667948098</c:v>
                </c:pt>
                <c:pt idx="178">
                  <c:v>40.622408115715146</c:v>
                </c:pt>
                <c:pt idx="179">
                  <c:v>40.73521036622185</c:v>
                </c:pt>
                <c:pt idx="180">
                  <c:v>40.847523687675483</c:v>
                </c:pt>
                <c:pt idx="181">
                  <c:v>40.959353263680669</c:v>
                </c:pt>
                <c:pt idx="182">
                  <c:v>41.070704195055058</c:v>
                </c:pt>
                <c:pt idx="183">
                  <c:v>41.181581501596192</c:v>
                </c:pt>
                <c:pt idx="184">
                  <c:v>41.291990123801249</c:v>
                </c:pt>
                <c:pt idx="185">
                  <c:v>41.401934924541223</c:v>
                </c:pt>
                <c:pt idx="186">
                  <c:v>41.511420690690784</c:v>
                </c:pt>
                <c:pt idx="187">
                  <c:v>41.620452134715613</c:v>
                </c:pt>
                <c:pt idx="188">
                  <c:v>41.729033896218084</c:v>
                </c:pt>
                <c:pt idx="189">
                  <c:v>41.83717054344298</c:v>
                </c:pt>
                <c:pt idx="190">
                  <c:v>41.944866574744118</c:v>
                </c:pt>
                <c:pt idx="191">
                  <c:v>42.052126420013643</c:v>
                </c:pt>
                <c:pt idx="192">
                  <c:v>42.158954442074283</c:v>
                </c:pt>
                <c:pt idx="193">
                  <c:v>42.265354938036829</c:v>
                </c:pt>
                <c:pt idx="194">
                  <c:v>42.371332140622634</c:v>
                </c:pt>
                <c:pt idx="195">
                  <c:v>42.476890219453395</c:v>
                </c:pt>
                <c:pt idx="196">
                  <c:v>42.582033282308331</c:v>
                </c:pt>
                <c:pt idx="197">
                  <c:v>42.686765376350024</c:v>
                </c:pt>
                <c:pt idx="198">
                  <c:v>42.79109048932024</c:v>
                </c:pt>
                <c:pt idx="199">
                  <c:v>42.895012550705644</c:v>
                </c:pt>
                <c:pt idx="200">
                  <c:v>42.998535432875705</c:v>
                </c:pt>
                <c:pt idx="201">
                  <c:v>43.101662952192022</c:v>
                </c:pt>
                <c:pt idx="202">
                  <c:v>43.204398870091374</c:v>
                </c:pt>
                <c:pt idx="203">
                  <c:v>43.306746894142151</c:v>
                </c:pt>
                <c:pt idx="204">
                  <c:v>43.408710679075618</c:v>
                </c:pt>
                <c:pt idx="205">
                  <c:v>43.510293827792395</c:v>
                </c:pt>
                <c:pt idx="206">
                  <c:v>43.611499892344966</c:v>
                </c:pt>
                <c:pt idx="207">
                  <c:v>43.712332374896974</c:v>
                </c:pt>
                <c:pt idx="208">
                  <c:v>43.812794728659817</c:v>
                </c:pt>
                <c:pt idx="209">
                  <c:v>43.912890358807267</c:v>
                </c:pt>
                <c:pt idx="210">
                  <c:v>44.012622623368848</c:v>
                </c:pt>
                <c:pt idx="211">
                  <c:v>44.11199483410217</c:v>
                </c:pt>
                <c:pt idx="212">
                  <c:v>44.211010257345329</c:v>
                </c:pt>
                <c:pt idx="213">
                  <c:v>44.309672114849675</c:v>
                </c:pt>
                <c:pt idx="214">
                  <c:v>44.407983584593225</c:v>
                </c:pt>
                <c:pt idx="215">
                  <c:v>44.50594780157585</c:v>
                </c:pt>
                <c:pt idx="216">
                  <c:v>44.603567858596151</c:v>
                </c:pt>
                <c:pt idx="217">
                  <c:v>44.700846807010926</c:v>
                </c:pt>
                <c:pt idx="218">
                  <c:v>44.797787657477436</c:v>
                </c:pt>
                <c:pt idx="219">
                  <c:v>44.894393380679197</c:v>
                </c:pt>
                <c:pt idx="220">
                  <c:v>44.990666908035394</c:v>
                </c:pt>
                <c:pt idx="221">
                  <c:v>45.086611132394658</c:v>
                </c:pt>
                <c:pt idx="222">
                  <c:v>45.18222890871354</c:v>
                </c:pt>
                <c:pt idx="223">
                  <c:v>45.277523054720078</c:v>
                </c:pt>
                <c:pt idx="224">
                  <c:v>45.372496351562603</c:v>
                </c:pt>
                <c:pt idx="225">
                  <c:v>45.467151544444725</c:v>
                </c:pt>
                <c:pt idx="226">
                  <c:v>45.56149134324631</c:v>
                </c:pt>
                <c:pt idx="227">
                  <c:v>45.655518423131234</c:v>
                </c:pt>
                <c:pt idx="228">
                  <c:v>45.749235425141713</c:v>
                </c:pt>
                <c:pt idx="229">
                  <c:v>45.842644956780397</c:v>
                </c:pt>
                <c:pt idx="230">
                  <c:v>45.935749592579626</c:v>
                </c:pt>
                <c:pt idx="231">
                  <c:v>46.028551874658689</c:v>
                </c:pt>
                <c:pt idx="232">
                  <c:v>46.12105431326966</c:v>
                </c:pt>
                <c:pt idx="233">
                  <c:v>46.213259387331107</c:v>
                </c:pt>
                <c:pt idx="234">
                  <c:v>46.305169544951184</c:v>
                </c:pt>
                <c:pt idx="235">
                  <c:v>46.396787203939546</c:v>
                </c:pt>
                <c:pt idx="236">
                  <c:v>46.488114752308569</c:v>
                </c:pt>
                <c:pt idx="237">
                  <c:v>46.579154548764379</c:v>
                </c:pt>
                <c:pt idx="238">
                  <c:v>46.66990892318767</c:v>
                </c:pt>
                <c:pt idx="239">
                  <c:v>46.760380177104572</c:v>
                </c:pt>
                <c:pt idx="240">
                  <c:v>46.850570584148102</c:v>
                </c:pt>
                <c:pt idx="241">
                  <c:v>46.940482390509956</c:v>
                </c:pt>
                <c:pt idx="242">
                  <c:v>47.030117815383399</c:v>
                </c:pt>
                <c:pt idx="243">
                  <c:v>47.119479051397114</c:v>
                </c:pt>
                <c:pt idx="244">
                  <c:v>47.208568265040242</c:v>
                </c:pt>
                <c:pt idx="245">
                  <c:v>47.297387597079002</c:v>
                </c:pt>
                <c:pt idx="246">
                  <c:v>47.385939162965094</c:v>
                </c:pt>
                <c:pt idx="247">
                  <c:v>47.474225053235784</c:v>
                </c:pt>
                <c:pt idx="248">
                  <c:v>47.562247333906257</c:v>
                </c:pt>
                <c:pt idx="249">
                  <c:v>47.650008046854119</c:v>
                </c:pt>
                <c:pt idx="250">
                  <c:v>47.737509210196421</c:v>
                </c:pt>
              </c:numCache>
            </c:numRef>
          </c:yVal>
          <c:smooth val="1"/>
        </c:ser>
        <c:ser>
          <c:idx val="19"/>
          <c:order val="19"/>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hx!$Z$5:$Z$255</c:f>
              <c:numCache>
                <c:formatCode>0.00</c:formatCode>
                <c:ptCount val="251"/>
                <c:pt idx="1">
                  <c:v>-31.62213905808829</c:v>
                </c:pt>
                <c:pt idx="2">
                  <c:v>-24.828198730795648</c:v>
                </c:pt>
                <c:pt idx="3">
                  <c:v>-20.675657726161774</c:v>
                </c:pt>
                <c:pt idx="4">
                  <c:v>-17.644943268364926</c:v>
                </c:pt>
                <c:pt idx="5">
                  <c:v>-15.243966543061145</c:v>
                </c:pt>
                <c:pt idx="6">
                  <c:v>-13.248682396224105</c:v>
                </c:pt>
                <c:pt idx="7">
                  <c:v>-11.537551030406295</c:v>
                </c:pt>
                <c:pt idx="8">
                  <c:v>-10.037018996904276</c:v>
                </c:pt>
                <c:pt idx="9">
                  <c:v>-8.6990853191773638</c:v>
                </c:pt>
                <c:pt idx="10">
                  <c:v>-7.4906402055781971</c:v>
                </c:pt>
                <c:pt idx="11">
                  <c:v>-6.387853872331319</c:v>
                </c:pt>
                <c:pt idx="12">
                  <c:v>-5.3729881011356655</c:v>
                </c:pt>
                <c:pt idx="13">
                  <c:v>-4.4324727279412075</c:v>
                </c:pt>
                <c:pt idx="14">
                  <c:v>-3.5556880095642027</c:v>
                </c:pt>
                <c:pt idx="15">
                  <c:v>-2.7341626840342386</c:v>
                </c:pt>
                <c:pt idx="16">
                  <c:v>-1.9610279804406314</c:v>
                </c:pt>
                <c:pt idx="17">
                  <c:v>-1.2306352395748288</c:v>
                </c:pt>
                <c:pt idx="18">
                  <c:v>-0.53828152141174934</c:v>
                </c:pt>
                <c:pt idx="19">
                  <c:v>0.13650867497671193</c:v>
                </c:pt>
                <c:pt idx="20">
                  <c:v>0.84786933761241201</c:v>
                </c:pt>
                <c:pt idx="21">
                  <c:v>1.5285981165318825</c:v>
                </c:pt>
                <c:pt idx="22">
                  <c:v>2.181404068334559</c:v>
                </c:pt>
                <c:pt idx="23">
                  <c:v>2.8086464481962041</c:v>
                </c:pt>
                <c:pt idx="24">
                  <c:v>3.4123929031197138</c:v>
                </c:pt>
                <c:pt idx="25">
                  <c:v>3.9944659944124501</c:v>
                </c:pt>
                <c:pt idx="26">
                  <c:v>4.5564807576515856</c:v>
                </c:pt>
                <c:pt idx="27">
                  <c:v>5.0998753010683409</c:v>
                </c:pt>
                <c:pt idx="28">
                  <c:v>5.6259359397846875</c:v>
                </c:pt>
                <c:pt idx="29">
                  <c:v>6.1358179998177098</c:v>
                </c:pt>
                <c:pt idx="30">
                  <c:v>6.6305631598685775</c:v>
                </c:pt>
                <c:pt idx="31">
                  <c:v>7.1111140020686729</c:v>
                </c:pt>
                <c:pt idx="32">
                  <c:v>7.5783262955017854</c:v>
                </c:pt>
                <c:pt idx="33">
                  <c:v>8.0329794248707085</c:v>
                </c:pt>
                <c:pt idx="34">
                  <c:v>8.4757852915677461</c:v>
                </c:pt>
                <c:pt idx="35">
                  <c:v>8.907395948829782</c:v>
                </c:pt>
                <c:pt idx="36">
                  <c:v>9.3284101817036067</c:v>
                </c:pt>
                <c:pt idx="37">
                  <c:v>9.7393792026417607</c:v>
                </c:pt>
                <c:pt idx="38">
                  <c:v>10.140811602066211</c:v>
                </c:pt>
                <c:pt idx="39">
                  <c:v>10.533177668225767</c:v>
                </c:pt>
                <c:pt idx="40">
                  <c:v>10.916913170672485</c:v>
                </c:pt>
                <c:pt idx="41">
                  <c:v>11.292422685589063</c:v>
                </c:pt>
                <c:pt idx="42">
                  <c:v>11.660082528174485</c:v>
                </c:pt>
                <c:pt idx="43">
                  <c:v>12.020243346694997</c:v>
                </c:pt>
                <c:pt idx="44">
                  <c:v>12.373232424134931</c:v>
                </c:pt>
                <c:pt idx="45">
                  <c:v>12.719355726251296</c:v>
                </c:pt>
                <c:pt idx="46">
                  <c:v>13.05889972894491</c:v>
                </c:pt>
                <c:pt idx="47">
                  <c:v>13.392133052971872</c:v>
                </c:pt>
                <c:pt idx="48">
                  <c:v>13.719307929944252</c:v>
                </c:pt>
                <c:pt idx="49">
                  <c:v>14.040661520158583</c:v>
                </c:pt>
                <c:pt idx="50">
                  <c:v>14.356417099924856</c:v>
                </c:pt>
                <c:pt idx="51">
                  <c:v>14.666785133652494</c:v>
                </c:pt>
                <c:pt idx="52">
                  <c:v>14.971964243903434</c:v>
                </c:pt>
                <c:pt idx="53">
                  <c:v>15.272142090885376</c:v>
                </c:pt>
                <c:pt idx="54">
                  <c:v>15.567496171377197</c:v>
                </c:pt>
                <c:pt idx="55">
                  <c:v>15.858194545812715</c:v>
                </c:pt>
                <c:pt idx="56">
                  <c:v>16.144396501163374</c:v>
                </c:pt>
                <c:pt idx="57">
                  <c:v>16.426253156326723</c:v>
                </c:pt>
                <c:pt idx="58">
                  <c:v>16.703908015922181</c:v>
                </c:pt>
                <c:pt idx="59">
                  <c:v>16.977497477699437</c:v>
                </c:pt>
                <c:pt idx="60">
                  <c:v>17.247151298160318</c:v>
                </c:pt>
                <c:pt idx="61">
                  <c:v>17.512993020470539</c:v>
                </c:pt>
                <c:pt idx="62">
                  <c:v>17.775140368279882</c:v>
                </c:pt>
                <c:pt idx="63">
                  <c:v>18.033705608669592</c:v>
                </c:pt>
                <c:pt idx="64">
                  <c:v>18.288795887096299</c:v>
                </c:pt>
                <c:pt idx="65">
                  <c:v>18.540513536894107</c:v>
                </c:pt>
                <c:pt idx="66">
                  <c:v>18.788956365627154</c:v>
                </c:pt>
                <c:pt idx="67">
                  <c:v>19.034217920346645</c:v>
                </c:pt>
                <c:pt idx="68">
                  <c:v>19.276387733596259</c:v>
                </c:pt>
                <c:pt idx="69">
                  <c:v>19.515551551824458</c:v>
                </c:pt>
                <c:pt idx="70">
                  <c:v>19.751791547697135</c:v>
                </c:pt>
                <c:pt idx="71">
                  <c:v>19.985186517657919</c:v>
                </c:pt>
                <c:pt idx="72">
                  <c:v>20.215812065953621</c:v>
                </c:pt>
                <c:pt idx="73">
                  <c:v>20.443740776226143</c:v>
                </c:pt>
                <c:pt idx="74">
                  <c:v>20.669042371668759</c:v>
                </c:pt>
                <c:pt idx="75">
                  <c:v>20.891783864652663</c:v>
                </c:pt>
                <c:pt idx="76">
                  <c:v>21.112029696646239</c:v>
                </c:pt>
                <c:pt idx="77">
                  <c:v>21.329841869175873</c:v>
                </c:pt>
                <c:pt idx="78">
                  <c:v>21.545280066510006</c:v>
                </c:pt>
                <c:pt idx="79">
                  <c:v>21.7584017706887</c:v>
                </c:pt>
                <c:pt idx="80">
                  <c:v>21.969262369466403</c:v>
                </c:pt>
                <c:pt idx="81">
                  <c:v>22.177915257687438</c:v>
                </c:pt>
                <c:pt idx="82">
                  <c:v>22.384411932569414</c:v>
                </c:pt>
                <c:pt idx="83">
                  <c:v>22.588802083330275</c:v>
                </c:pt>
                <c:pt idx="84">
                  <c:v>22.791133675558427</c:v>
                </c:pt>
                <c:pt idx="85">
                  <c:v>22.991453030693034</c:v>
                </c:pt>
                <c:pt idx="86">
                  <c:v>23.1898049009517</c:v>
                </c:pt>
                <c:pt idx="87">
                  <c:v>23.386232540016113</c:v>
                </c:pt>
                <c:pt idx="88">
                  <c:v>23.580777769761514</c:v>
                </c:pt>
                <c:pt idx="89">
                  <c:v>23.773481043293685</c:v>
                </c:pt>
                <c:pt idx="90">
                  <c:v>23.964381504536799</c:v>
                </c:pt>
                <c:pt idx="91">
                  <c:v>24.153517044596903</c:v>
                </c:pt>
                <c:pt idx="92">
                  <c:v>24.340924355108914</c:v>
                </c:pt>
                <c:pt idx="93">
                  <c:v>24.526638978759415</c:v>
                </c:pt>
                <c:pt idx="94">
                  <c:v>24.710695357163459</c:v>
                </c:pt>
                <c:pt idx="95">
                  <c:v>24.893126876260443</c:v>
                </c:pt>
                <c:pt idx="96">
                  <c:v>25.073965909382313</c:v>
                </c:pt>
                <c:pt idx="97">
                  <c:v>25.253243858136411</c:v>
                </c:pt>
                <c:pt idx="98">
                  <c:v>25.430991191235016</c:v>
                </c:pt>
                <c:pt idx="99">
                  <c:v>25.607237481394598</c:v>
                </c:pt>
                <c:pt idx="100">
                  <c:v>25.782011440419286</c:v>
                </c:pt>
                <c:pt idx="101">
                  <c:v>25.95534095257489</c:v>
                </c:pt>
                <c:pt idx="102">
                  <c:v>26.127253106353013</c:v>
                </c:pt>
                <c:pt idx="103">
                  <c:v>26.297774224717713</c:v>
                </c:pt>
                <c:pt idx="104">
                  <c:v>26.466929893921307</c:v>
                </c:pt>
                <c:pt idx="105">
                  <c:v>26.634744990969953</c:v>
                </c:pt>
                <c:pt idx="106">
                  <c:v>26.80124370981456</c:v>
                </c:pt>
                <c:pt idx="107">
                  <c:v>26.966449586337653</c:v>
                </c:pt>
                <c:pt idx="108">
                  <c:v>27.130385522202026</c:v>
                </c:pt>
                <c:pt idx="109">
                  <c:v>27.293073807623255</c:v>
                </c:pt>
                <c:pt idx="110">
                  <c:v>27.454536143124052</c:v>
                </c:pt>
                <c:pt idx="111">
                  <c:v>27.614793660324594</c:v>
                </c:pt>
                <c:pt idx="112">
                  <c:v>27.773866941819918</c:v>
                </c:pt>
                <c:pt idx="113">
                  <c:v>27.931776040192322</c:v>
                </c:pt>
                <c:pt idx="114">
                  <c:v>28.088540496203581</c:v>
                </c:pt>
                <c:pt idx="115">
                  <c:v>28.244179356209173</c:v>
                </c:pt>
                <c:pt idx="116">
                  <c:v>28.398711188834522</c:v>
                </c:pt>
                <c:pt idx="117">
                  <c:v>28.55215410095024</c:v>
                </c:pt>
                <c:pt idx="118">
                  <c:v>28.704525752981784</c:v>
                </c:pt>
                <c:pt idx="119">
                  <c:v>28.855843373586605</c:v>
                </c:pt>
                <c:pt idx="120">
                  <c:v>29.006123773729939</c:v>
                </c:pt>
                <c:pt idx="121">
                  <c:v>29.155383360188697</c:v>
                </c:pt>
                <c:pt idx="122">
                  <c:v>29.303638148511247</c:v>
                </c:pt>
                <c:pt idx="123">
                  <c:v>29.450903775459285</c:v>
                </c:pt>
                <c:pt idx="124">
                  <c:v>29.597195510956382</c:v>
                </c:pt>
                <c:pt idx="125">
                  <c:v>29.742528269566726</c:v>
                </c:pt>
                <c:pt idx="126">
                  <c:v>29.886916621526115</c:v>
                </c:pt>
                <c:pt idx="127">
                  <c:v>30.030374803345978</c:v>
                </c:pt>
                <c:pt idx="128">
                  <c:v>30.172916728010264</c:v>
                </c:pt>
                <c:pt idx="129">
                  <c:v>30.314555994783788</c:v>
                </c:pt>
                <c:pt idx="130">
                  <c:v>30.455305898649854</c:v>
                </c:pt>
                <c:pt idx="131">
                  <c:v>30.595179439393775</c:v>
                </c:pt>
                <c:pt idx="132">
                  <c:v>30.734189330348258</c:v>
                </c:pt>
                <c:pt idx="133">
                  <c:v>30.872348006815578</c:v>
                </c:pt>
                <c:pt idx="134">
                  <c:v>31.009667634181049</c:v>
                </c:pt>
                <c:pt idx="135">
                  <c:v>31.146160115731035</c:v>
                </c:pt>
                <c:pt idx="136">
                  <c:v>31.281837100188568</c:v>
                </c:pt>
                <c:pt idx="137">
                  <c:v>31.41670998897871</c:v>
                </c:pt>
                <c:pt idx="138">
                  <c:v>31.550789943235188</c:v>
                </c:pt>
                <c:pt idx="139">
                  <c:v>31.684087890559432</c:v>
                </c:pt>
                <c:pt idx="140">
                  <c:v>31.816614531542349</c:v>
                </c:pt>
                <c:pt idx="141">
                  <c:v>31.948380346058876</c:v>
                </c:pt>
                <c:pt idx="142">
                  <c:v>32.079395599344856</c:v>
                </c:pt>
                <c:pt idx="143">
                  <c:v>32.20967034786495</c:v>
                </c:pt>
                <c:pt idx="144">
                  <c:v>32.339214444980541</c:v>
                </c:pt>
                <c:pt idx="145">
                  <c:v>32.468037546425535</c:v>
                </c:pt>
                <c:pt idx="146">
                  <c:v>32.596149115597953</c:v>
                </c:pt>
                <c:pt idx="147">
                  <c:v>32.723558428674714</c:v>
                </c:pt>
                <c:pt idx="148">
                  <c:v>32.85027457955654</c:v>
                </c:pt>
                <c:pt idx="149">
                  <c:v>32.976306484650074</c:v>
                </c:pt>
                <c:pt idx="150">
                  <c:v>33.101662887493184</c:v>
                </c:pt>
                <c:pt idx="151">
                  <c:v>33.226352363229928</c:v>
                </c:pt>
                <c:pt idx="152">
                  <c:v>33.350383322940914</c:v>
                </c:pt>
                <c:pt idx="153">
                  <c:v>33.473764017834625</c:v>
                </c:pt>
                <c:pt idx="154">
                  <c:v>33.596502543305107</c:v>
                </c:pt>
                <c:pt idx="155">
                  <c:v>33.718606842861035</c:v>
                </c:pt>
                <c:pt idx="156">
                  <c:v>33.840084711931134</c:v>
                </c:pt>
                <c:pt idx="157">
                  <c:v>33.960943801550549</c:v>
                </c:pt>
                <c:pt idx="158">
                  <c:v>34.081191621932632</c:v>
                </c:pt>
                <c:pt idx="159">
                  <c:v>34.200835545930396</c:v>
                </c:pt>
                <c:pt idx="160">
                  <c:v>34.319882812391818</c:v>
                </c:pt>
                <c:pt idx="161">
                  <c:v>34.438340529412613</c:v>
                </c:pt>
                <c:pt idx="162">
                  <c:v>34.556215677490641</c:v>
                </c:pt>
                <c:pt idx="163">
                  <c:v>34.673515112585143</c:v>
                </c:pt>
                <c:pt idx="164">
                  <c:v>34.790245569084405</c:v>
                </c:pt>
                <c:pt idx="165">
                  <c:v>34.906413662685068</c:v>
                </c:pt>
                <c:pt idx="166">
                  <c:v>35.022025893186417</c:v>
                </c:pt>
                <c:pt idx="167">
                  <c:v>35.137088647202326</c:v>
                </c:pt>
                <c:pt idx="168">
                  <c:v>35.251608200794138</c:v>
                </c:pt>
                <c:pt idx="169">
                  <c:v>35.365590722026766</c:v>
                </c:pt>
                <c:pt idx="170">
                  <c:v>35.479042273451334</c:v>
                </c:pt>
                <c:pt idx="171">
                  <c:v>35.59196881451625</c:v>
                </c:pt>
                <c:pt idx="172">
                  <c:v>35.70437620390959</c:v>
                </c:pt>
                <c:pt idx="173">
                  <c:v>35.816270201835003</c:v>
                </c:pt>
                <c:pt idx="174">
                  <c:v>35.927656472223312</c:v>
                </c:pt>
                <c:pt idx="175">
                  <c:v>36.03854058488217</c:v>
                </c:pt>
                <c:pt idx="176">
                  <c:v>36.148928017585781</c:v>
                </c:pt>
                <c:pt idx="177">
                  <c:v>36.258824158106428</c:v>
                </c:pt>
                <c:pt idx="178">
                  <c:v>36.368234306190359</c:v>
                </c:pt>
                <c:pt idx="179">
                  <c:v>36.477163675479062</c:v>
                </c:pt>
                <c:pt idx="180">
                  <c:v>36.585617395378527</c:v>
                </c:pt>
                <c:pt idx="181">
                  <c:v>36.693600512877481</c:v>
                </c:pt>
                <c:pt idx="182">
                  <c:v>36.801117994316826</c:v>
                </c:pt>
                <c:pt idx="183">
                  <c:v>36.908174727111479</c:v>
                </c:pt>
                <c:pt idx="184">
                  <c:v>37.014775521426351</c:v>
                </c:pt>
                <c:pt idx="185">
                  <c:v>37.120925111807807</c:v>
                </c:pt>
                <c:pt idx="186">
                  <c:v>37.22662815877203</c:v>
                </c:pt>
                <c:pt idx="187">
                  <c:v>37.331889250351857</c:v>
                </c:pt>
                <c:pt idx="188">
                  <c:v>37.436712903603052</c:v>
                </c:pt>
                <c:pt idx="189">
                  <c:v>37.541103566071513</c:v>
                </c:pt>
                <c:pt idx="190">
                  <c:v>37.645065617222691</c:v>
                </c:pt>
                <c:pt idx="191">
                  <c:v>37.748603369834008</c:v>
                </c:pt>
                <c:pt idx="192">
                  <c:v>37.851721071352053</c:v>
                </c:pt>
                <c:pt idx="193">
                  <c:v>37.954422905214891</c:v>
                </c:pt>
                <c:pt idx="194">
                  <c:v>38.056712992141179</c:v>
                </c:pt>
                <c:pt idx="195">
                  <c:v>38.158595391386712</c:v>
                </c:pt>
                <c:pt idx="196">
                  <c:v>38.260074101969494</c:v>
                </c:pt>
                <c:pt idx="197">
                  <c:v>38.36115306386445</c:v>
                </c:pt>
                <c:pt idx="198">
                  <c:v>38.4618361591683</c:v>
                </c:pt>
                <c:pt idx="199">
                  <c:v>38.562127213235769</c:v>
                </c:pt>
                <c:pt idx="200">
                  <c:v>38.662029995788124</c:v>
                </c:pt>
                <c:pt idx="201">
                  <c:v>38.761548221994296</c:v>
                </c:pt>
                <c:pt idx="202">
                  <c:v>38.86068555352599</c:v>
                </c:pt>
                <c:pt idx="203">
                  <c:v>38.959445599587283</c:v>
                </c:pt>
                <c:pt idx="204">
                  <c:v>39.057831917919195</c:v>
                </c:pt>
                <c:pt idx="205">
                  <c:v>39.155848015780577</c:v>
                </c:pt>
                <c:pt idx="206">
                  <c:v>39.253497350905405</c:v>
                </c:pt>
                <c:pt idx="207">
                  <c:v>39.350783332437331</c:v>
                </c:pt>
                <c:pt idx="208">
                  <c:v>39.447709321842446</c:v>
                </c:pt>
                <c:pt idx="209">
                  <c:v>39.544278633800296</c:v>
                </c:pt>
                <c:pt idx="210">
                  <c:v>39.640494537074296</c:v>
                </c:pt>
                <c:pt idx="211">
                  <c:v>39.736360255361824</c:v>
                </c:pt>
                <c:pt idx="212">
                  <c:v>39.83187896812462</c:v>
                </c:pt>
                <c:pt idx="213">
                  <c:v>39.927053811400157</c:v>
                </c:pt>
                <c:pt idx="214">
                  <c:v>40.0218878785942</c:v>
                </c:pt>
                <c:pt idx="215">
                  <c:v>40.116384221255522</c:v>
                </c:pt>
                <c:pt idx="216">
                  <c:v>40.210545849832855</c:v>
                </c:pt>
                <c:pt idx="217">
                  <c:v>40.304375734414684</c:v>
                </c:pt>
                <c:pt idx="218">
                  <c:v>40.397876805452675</c:v>
                </c:pt>
                <c:pt idx="219">
                  <c:v>40.491051954468553</c:v>
                </c:pt>
                <c:pt idx="220">
                  <c:v>40.583904034745331</c:v>
                </c:pt>
                <c:pt idx="221">
                  <c:v>40.676435862003338</c:v>
                </c:pt>
                <c:pt idx="222">
                  <c:v>40.768650215061058</c:v>
                </c:pt>
                <c:pt idx="223">
                  <c:v>40.860549836481638</c:v>
                </c:pt>
                <c:pt idx="224">
                  <c:v>40.952137433205138</c:v>
                </c:pt>
                <c:pt idx="225">
                  <c:v>41.043415677166983</c:v>
                </c:pt>
                <c:pt idx="226">
                  <c:v>41.134387205902961</c:v>
                </c:pt>
                <c:pt idx="227">
                  <c:v>41.225054623141354</c:v>
                </c:pt>
                <c:pt idx="228">
                  <c:v>41.315420499381936</c:v>
                </c:pt>
                <c:pt idx="229">
                  <c:v>41.405487372463007</c:v>
                </c:pt>
                <c:pt idx="230">
                  <c:v>41.495257748115989</c:v>
                </c:pt>
                <c:pt idx="231">
                  <c:v>41.584734100508399</c:v>
                </c:pt>
                <c:pt idx="232">
                  <c:v>41.673918872775367</c:v>
                </c:pt>
                <c:pt idx="233">
                  <c:v>41.762814477539791</c:v>
                </c:pt>
                <c:pt idx="234">
                  <c:v>41.851423297421832</c:v>
                </c:pt>
                <c:pt idx="235">
                  <c:v>41.939747685537505</c:v>
                </c:pt>
                <c:pt idx="236">
                  <c:v>42.027789965987147</c:v>
                </c:pt>
                <c:pt idx="237">
                  <c:v>42.115552434333651</c:v>
                </c:pt>
                <c:pt idx="238">
                  <c:v>42.203037358070752</c:v>
                </c:pt>
                <c:pt idx="239">
                  <c:v>42.290246977081956</c:v>
                </c:pt>
                <c:pt idx="240">
                  <c:v>42.3771835040898</c:v>
                </c:pt>
                <c:pt idx="241">
                  <c:v>42.463849125096175</c:v>
                </c:pt>
                <c:pt idx="242">
                  <c:v>42.550245999813647</c:v>
                </c:pt>
                <c:pt idx="243">
                  <c:v>42.636376262088</c:v>
                </c:pt>
                <c:pt idx="244">
                  <c:v>42.722242020312464</c:v>
                </c:pt>
                <c:pt idx="245">
                  <c:v>42.807845357833408</c:v>
                </c:pt>
                <c:pt idx="246">
                  <c:v>42.893188333348199</c:v>
                </c:pt>
                <c:pt idx="247">
                  <c:v>42.978272981294936</c:v>
                </c:pt>
                <c:pt idx="248">
                  <c:v>43.063101312234622</c:v>
                </c:pt>
                <c:pt idx="249">
                  <c:v>43.147675313225655</c:v>
                </c:pt>
                <c:pt idx="250">
                  <c:v>43.231996948191224</c:v>
                </c:pt>
              </c:numCache>
            </c:numRef>
          </c:yVal>
          <c:smooth val="1"/>
        </c:ser>
        <c:ser>
          <c:idx val="20"/>
          <c:order val="20"/>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hx!$AA$5:$AA$255</c:f>
              <c:numCache>
                <c:formatCode>0.00</c:formatCode>
                <c:ptCount val="251"/>
                <c:pt idx="1">
                  <c:v>-33.349723990650766</c:v>
                </c:pt>
                <c:pt idx="2">
                  <c:v>-26.653848897295418</c:v>
                </c:pt>
                <c:pt idx="3">
                  <c:v>-22.562719843615461</c:v>
                </c:pt>
                <c:pt idx="4">
                  <c:v>-19.577566763724771</c:v>
                </c:pt>
                <c:pt idx="5">
                  <c:v>-17.213146705626322</c:v>
                </c:pt>
                <c:pt idx="6">
                  <c:v>-15.248565193209899</c:v>
                </c:pt>
                <c:pt idx="7">
                  <c:v>-13.564005840568321</c:v>
                </c:pt>
                <c:pt idx="8">
                  <c:v>-12.086965282385123</c:v>
                </c:pt>
                <c:pt idx="9">
                  <c:v>-10.770131795679013</c:v>
                </c:pt>
                <c:pt idx="10">
                  <c:v>-9.5808734169322136</c:v>
                </c:pt>
                <c:pt idx="11">
                  <c:v>-8.4957058049156213</c:v>
                </c:pt>
                <c:pt idx="12">
                  <c:v>-7.4971489148790997</c:v>
                </c:pt>
                <c:pt idx="13">
                  <c:v>-6.5718308153336</c:v>
                </c:pt>
                <c:pt idx="14">
                  <c:v>-5.709287417399235</c:v>
                </c:pt>
                <c:pt idx="15">
                  <c:v>-4.9011720086217743</c:v>
                </c:pt>
                <c:pt idx="16">
                  <c:v>-4.1407170984742194</c:v>
                </c:pt>
                <c:pt idx="17">
                  <c:v>-3.422357542330936</c:v>
                </c:pt>
                <c:pt idx="18">
                  <c:v>-2.7414601086360322</c:v>
                </c:pt>
                <c:pt idx="19">
                  <c:v>-2.0941252694557448</c:v>
                </c:pt>
                <c:pt idx="20">
                  <c:v>-1.4770391947029151</c:v>
                </c:pt>
                <c:pt idx="21">
                  <c:v>-0.88736139514335921</c:v>
                </c:pt>
                <c:pt idx="22">
                  <c:v>-0.32263816250537136</c:v>
                </c:pt>
                <c:pt idx="23">
                  <c:v>0.24897425137509011</c:v>
                </c:pt>
                <c:pt idx="24">
                  <c:v>0.83955361358304259</c:v>
                </c:pt>
                <c:pt idx="25">
                  <c:v>1.4088861835758637</c:v>
                </c:pt>
                <c:pt idx="26">
                  <c:v>1.9585560647305664</c:v>
                </c:pt>
                <c:pt idx="27">
                  <c:v>2.4899737645718663</c:v>
                </c:pt>
                <c:pt idx="28">
                  <c:v>3.0044008614646831</c:v>
                </c:pt>
                <c:pt idx="29">
                  <c:v>3.5029704208718746</c:v>
                </c:pt>
                <c:pt idx="30">
                  <c:v>3.9867040133191747</c:v>
                </c:pt>
                <c:pt idx="31">
                  <c:v>4.4565259929424013</c:v>
                </c:pt>
                <c:pt idx="32">
                  <c:v>4.9132755508210568</c:v>
                </c:pt>
                <c:pt idx="33">
                  <c:v>5.3577169478843309</c:v>
                </c:pt>
                <c:pt idx="34">
                  <c:v>5.7905482486217323</c:v>
                </c:pt>
                <c:pt idx="35">
                  <c:v>6.2124088124516756</c:v>
                </c:pt>
                <c:pt idx="36">
                  <c:v>6.6238857495801327</c:v>
                </c:pt>
                <c:pt idx="37">
                  <c:v>7.0255195090087632</c:v>
                </c:pt>
                <c:pt idx="38">
                  <c:v>7.4178087354475473</c:v>
                </c:pt>
                <c:pt idx="39">
                  <c:v>7.8012145073361925</c:v>
                </c:pt>
                <c:pt idx="40">
                  <c:v>8.1761640485464167</c:v>
                </c:pt>
                <c:pt idx="41">
                  <c:v>8.5430539905413347</c:v>
                </c:pt>
                <c:pt idx="42">
                  <c:v>8.9022532489840316</c:v>
                </c:pt>
                <c:pt idx="43">
                  <c:v>9.254105568383487</c:v>
                </c:pt>
                <c:pt idx="44">
                  <c:v>9.5989317798542135</c:v>
                </c:pt>
                <c:pt idx="45">
                  <c:v>9.937031810067646</c:v>
                </c:pt>
                <c:pt idx="46">
                  <c:v>10.268686473691728</c:v>
                </c:pt>
                <c:pt idx="47">
                  <c:v>10.594159076816933</c:v>
                </c:pt>
                <c:pt idx="48">
                  <c:v>10.913696854868133</c:v>
                </c:pt>
                <c:pt idx="49">
                  <c:v>11.22753226515481</c:v>
                </c:pt>
                <c:pt idx="50">
                  <c:v>11.535884151399978</c:v>
                </c:pt>
                <c:pt idx="51">
                  <c:v>11.838958795216731</c:v>
                </c:pt>
                <c:pt idx="52">
                  <c:v>12.136950867493651</c:v>
                </c:pt>
                <c:pt idx="53">
                  <c:v>12.430044290945526</c:v>
                </c:pt>
                <c:pt idx="54">
                  <c:v>12.718413023632589</c:v>
                </c:pt>
                <c:pt idx="55">
                  <c:v>13.002221772009449</c:v>
                </c:pt>
                <c:pt idx="56">
                  <c:v>13.281626640999647</c:v>
                </c:pt>
                <c:pt idx="57">
                  <c:v>13.556775727675555</c:v>
                </c:pt>
                <c:pt idx="58">
                  <c:v>13.827809664333357</c:v>
                </c:pt>
                <c:pt idx="59">
                  <c:v>14.09486211606932</c:v>
                </c:pt>
                <c:pt idx="60">
                  <c:v>14.35806023737117</c:v>
                </c:pt>
                <c:pt idx="61">
                  <c:v>14.617525091723124</c:v>
                </c:pt>
                <c:pt idx="62">
                  <c:v>14.873372037774271</c:v>
                </c:pt>
                <c:pt idx="63">
                  <c:v>15.125711085228138</c:v>
                </c:pt>
                <c:pt idx="64">
                  <c:v>15.374647223267402</c:v>
                </c:pt>
                <c:pt idx="65">
                  <c:v>15.620280724027133</c:v>
                </c:pt>
                <c:pt idx="66">
                  <c:v>15.862707423364665</c:v>
                </c:pt>
                <c:pt idx="67">
                  <c:v>16.102018980940908</c:v>
                </c:pt>
                <c:pt idx="68">
                  <c:v>16.338303121422001</c:v>
                </c:pt>
                <c:pt idx="69">
                  <c:v>16.57164385842762</c:v>
                </c:pt>
                <c:pt idx="70">
                  <c:v>16.802121702691149</c:v>
                </c:pt>
                <c:pt idx="71">
                  <c:v>17.029813855753051</c:v>
                </c:pt>
                <c:pt idx="72">
                  <c:v>17.25479439038142</c:v>
                </c:pt>
                <c:pt idx="73">
                  <c:v>17.477134418800169</c:v>
                </c:pt>
                <c:pt idx="74">
                  <c:v>17.696902249703392</c:v>
                </c:pt>
                <c:pt idx="75">
                  <c:v>17.914163534944333</c:v>
                </c:pt>
                <c:pt idx="76">
                  <c:v>18.12898140670579</c:v>
                </c:pt>
                <c:pt idx="77">
                  <c:v>18.341416605886067</c:v>
                </c:pt>
                <c:pt idx="78">
                  <c:v>18.551527602369379</c:v>
                </c:pt>
                <c:pt idx="79">
                  <c:v>18.759370707790623</c:v>
                </c:pt>
                <c:pt idx="80">
                  <c:v>18.965000181351517</c:v>
                </c:pt>
                <c:pt idx="81">
                  <c:v>19.168468329197445</c:v>
                </c:pt>
                <c:pt idx="82">
                  <c:v>19.369825597821084</c:v>
                </c:pt>
                <c:pt idx="83">
                  <c:v>19.569120661920078</c:v>
                </c:pt>
                <c:pt idx="84">
                  <c:v>19.766400507100464</c:v>
                </c:pt>
                <c:pt idx="85">
                  <c:v>19.961710507785877</c:v>
                </c:pt>
                <c:pt idx="86">
                  <c:v>20.155094500663182</c:v>
                </c:pt>
                <c:pt idx="87">
                  <c:v>20.346594853969055</c:v>
                </c:pt>
                <c:pt idx="88">
                  <c:v>20.536252532897937</c:v>
                </c:pt>
                <c:pt idx="89">
                  <c:v>20.724107161389661</c:v>
                </c:pt>
                <c:pt idx="90">
                  <c:v>20.910197080535934</c:v>
                </c:pt>
                <c:pt idx="91">
                  <c:v>21.094559403825293</c:v>
                </c:pt>
                <c:pt idx="92">
                  <c:v>21.277230069431159</c:v>
                </c:pt>
                <c:pt idx="93">
                  <c:v>21.45824388973088</c:v>
                </c:pt>
                <c:pt idx="94">
                  <c:v>21.63763459823096</c:v>
                </c:pt>
                <c:pt idx="95">
                  <c:v>21.815434894060079</c:v>
                </c:pt>
                <c:pt idx="96">
                  <c:v>21.991676484180292</c:v>
                </c:pt>
                <c:pt idx="97">
                  <c:v>22.166390123455759</c:v>
                </c:pt>
                <c:pt idx="98">
                  <c:v>22.339605652708826</c:v>
                </c:pt>
                <c:pt idx="99">
                  <c:v>22.511352034883743</c:v>
                </c:pt>
                <c:pt idx="100">
                  <c:v>22.681657389430317</c:v>
                </c:pt>
                <c:pt idx="101">
                  <c:v>22.850549025012068</c:v>
                </c:pt>
                <c:pt idx="102">
                  <c:v>23.01805347063608</c:v>
                </c:pt>
                <c:pt idx="103">
                  <c:v>23.184196505295418</c:v>
                </c:pt>
                <c:pt idx="104">
                  <c:v>23.349003186209028</c:v>
                </c:pt>
                <c:pt idx="105">
                  <c:v>23.512497875738024</c:v>
                </c:pt>
                <c:pt idx="106">
                  <c:v>23.674704267052594</c:v>
                </c:pt>
                <c:pt idx="107">
                  <c:v>23.835645408618589</c:v>
                </c:pt>
                <c:pt idx="108">
                  <c:v>23.995343727568603</c:v>
                </c:pt>
                <c:pt idx="109">
                  <c:v>24.153821052018127</c:v>
                </c:pt>
                <c:pt idx="110">
                  <c:v>24.311098632383704</c:v>
                </c:pt>
                <c:pt idx="111">
                  <c:v>24.467197161756204</c:v>
                </c:pt>
                <c:pt idx="112">
                  <c:v>24.622136795379404</c:v>
                </c:pt>
                <c:pt idx="113">
                  <c:v>24.775937169280514</c:v>
                </c:pt>
                <c:pt idx="114">
                  <c:v>24.928617418096994</c:v>
                </c:pt>
                <c:pt idx="115">
                  <c:v>25.080196192140811</c:v>
                </c:pt>
                <c:pt idx="116">
                  <c:v>25.230691673739283</c:v>
                </c:pt>
                <c:pt idx="117">
                  <c:v>25.380121592889004</c:v>
                </c:pt>
                <c:pt idx="118">
                  <c:v>25.528503242257326</c:v>
                </c:pt>
                <c:pt idx="119">
                  <c:v>25.675853491563959</c:v>
                </c:pt>
                <c:pt idx="120">
                  <c:v>25.822188801373215</c:v>
                </c:pt>
                <c:pt idx="121">
                  <c:v>25.967525236325731</c:v>
                </c:pt>
                <c:pt idx="122">
                  <c:v>26.111878477836918</c:v>
                </c:pt>
                <c:pt idx="123">
                  <c:v>26.255263836287828</c:v>
                </c:pt>
                <c:pt idx="124">
                  <c:v>26.397696262732573</c:v>
                </c:pt>
                <c:pt idx="125">
                  <c:v>26.539190360145277</c:v>
                </c:pt>
                <c:pt idx="126">
                  <c:v>26.679760394228264</c:v>
                </c:pt>
                <c:pt idx="127">
                  <c:v>26.819420303801792</c:v>
                </c:pt>
                <c:pt idx="128">
                  <c:v>26.9581837107947</c:v>
                </c:pt>
                <c:pt idx="129">
                  <c:v>27.096063929854481</c:v>
                </c:pt>
                <c:pt idx="130">
                  <c:v>27.233073977593889</c:v>
                </c:pt>
                <c:pt idx="131">
                  <c:v>27.369226581490523</c:v>
                </c:pt>
                <c:pt idx="132">
                  <c:v>27.504534188455189</c:v>
                </c:pt>
                <c:pt idx="133">
                  <c:v>27.639008973083342</c:v>
                </c:pt>
                <c:pt idx="134">
                  <c:v>27.772662845604195</c:v>
                </c:pt>
                <c:pt idx="135">
                  <c:v>27.905507459540139</c:v>
                </c:pt>
                <c:pt idx="136">
                  <c:v>28.037554219089493</c:v>
                </c:pt>
                <c:pt idx="137">
                  <c:v>28.168814286244469</c:v>
                </c:pt>
                <c:pt idx="138">
                  <c:v>28.299298587655521</c:v>
                </c:pt>
                <c:pt idx="139">
                  <c:v>28.429017821253119</c:v>
                </c:pt>
                <c:pt idx="140">
                  <c:v>28.557982462636978</c:v>
                </c:pt>
                <c:pt idx="141">
                  <c:v>28.686202771242741</c:v>
                </c:pt>
                <c:pt idx="142">
                  <c:v>28.813688796295175</c:v>
                </c:pt>
                <c:pt idx="143">
                  <c:v>28.940450382556826</c:v>
                </c:pt>
                <c:pt idx="144">
                  <c:v>29.066497175880528</c:v>
                </c:pt>
                <c:pt idx="145">
                  <c:v>29.191838628573691</c:v>
                </c:pt>
                <c:pt idx="146">
                  <c:v>29.316484004582222</c:v>
                </c:pt>
                <c:pt idx="147">
                  <c:v>29.440442384500948</c:v>
                </c:pt>
                <c:pt idx="148">
                  <c:v>29.56372267041796</c:v>
                </c:pt>
                <c:pt idx="149">
                  <c:v>29.686333590599013</c:v>
                </c:pt>
                <c:pt idx="150">
                  <c:v>29.808283704018571</c:v>
                </c:pt>
                <c:pt idx="151">
                  <c:v>29.929581404743551</c:v>
                </c:pt>
                <c:pt idx="152">
                  <c:v>30.050234926175136</c:v>
                </c:pt>
                <c:pt idx="153">
                  <c:v>30.170252345154651</c:v>
                </c:pt>
                <c:pt idx="154">
                  <c:v>30.28964158593827</c:v>
                </c:pt>
                <c:pt idx="155">
                  <c:v>30.408410424045854</c:v>
                </c:pt>
                <c:pt idx="156">
                  <c:v>30.526566489988575</c:v>
                </c:pt>
                <c:pt idx="157">
                  <c:v>30.644117272879903</c:v>
                </c:pt>
                <c:pt idx="158">
                  <c:v>30.761070123934331</c:v>
                </c:pt>
                <c:pt idx="159">
                  <c:v>30.877432259857976</c:v>
                </c:pt>
                <c:pt idx="160">
                  <c:v>30.993210766135185</c:v>
                </c:pt>
                <c:pt idx="161">
                  <c:v>31.108412600214848</c:v>
                </c:pt>
                <c:pt idx="162">
                  <c:v>31.223044594599983</c:v>
                </c:pt>
                <c:pt idx="163">
                  <c:v>31.337113459844353</c:v>
                </c:pt>
                <c:pt idx="164">
                  <c:v>31.450625787459401</c:v>
                </c:pt>
                <c:pt idx="165">
                  <c:v>31.563588052734389</c:v>
                </c:pt>
                <c:pt idx="166">
                  <c:v>31.676006617473469</c:v>
                </c:pt>
                <c:pt idx="167">
                  <c:v>31.787887732651889</c:v>
                </c:pt>
                <c:pt idx="168">
                  <c:v>31.899237540994847</c:v>
                </c:pt>
                <c:pt idx="169">
                  <c:v>32.01006207948123</c:v>
                </c:pt>
                <c:pt idx="170">
                  <c:v>32.120367281775124</c:v>
                </c:pt>
                <c:pt idx="171">
                  <c:v>32.230158980587376</c:v>
                </c:pt>
                <c:pt idx="172">
                  <c:v>32.33944290996989</c:v>
                </c:pt>
                <c:pt idx="173">
                  <c:v>32.448224707544689</c:v>
                </c:pt>
                <c:pt idx="174">
                  <c:v>32.556509916670059</c:v>
                </c:pt>
                <c:pt idx="175">
                  <c:v>32.664303988545967</c:v>
                </c:pt>
                <c:pt idx="176">
                  <c:v>32.771612284260733</c:v>
                </c:pt>
                <c:pt idx="177">
                  <c:v>32.878440076780912</c:v>
                </c:pt>
                <c:pt idx="178">
                  <c:v>32.984792552886219</c:v>
                </c:pt>
                <c:pt idx="179">
                  <c:v>33.090674815051457</c:v>
                </c:pt>
                <c:pt idx="180">
                  <c:v>33.19609188327717</c:v>
                </c:pt>
                <c:pt idx="181">
                  <c:v>33.301048696870396</c:v>
                </c:pt>
                <c:pt idx="182">
                  <c:v>33.40555011617765</c:v>
                </c:pt>
                <c:pt idx="183">
                  <c:v>33.509600924271275</c:v>
                </c:pt>
                <c:pt idx="184">
                  <c:v>33.613205828590729</c:v>
                </c:pt>
                <c:pt idx="185">
                  <c:v>33.716369462540499</c:v>
                </c:pt>
                <c:pt idx="186">
                  <c:v>33.819096387045676</c:v>
                </c:pt>
                <c:pt idx="187">
                  <c:v>33.921391092066735</c:v>
                </c:pt>
                <c:pt idx="188">
                  <c:v>34.023257998074826</c:v>
                </c:pt>
                <c:pt idx="189">
                  <c:v>34.124701457488598</c:v>
                </c:pt>
                <c:pt idx="190">
                  <c:v>34.225725756074048</c:v>
                </c:pt>
                <c:pt idx="191">
                  <c:v>34.326335114308272</c:v>
                </c:pt>
                <c:pt idx="192">
                  <c:v>34.426533688708425</c:v>
                </c:pt>
                <c:pt idx="193">
                  <c:v>34.526325573126833</c:v>
                </c:pt>
                <c:pt idx="194">
                  <c:v>34.625714800013306</c:v>
                </c:pt>
                <c:pt idx="195">
                  <c:v>34.724705341645802</c:v>
                </c:pt>
                <c:pt idx="196">
                  <c:v>34.823301111330053</c:v>
                </c:pt>
                <c:pt idx="197">
                  <c:v>34.921505964569505</c:v>
                </c:pt>
                <c:pt idx="198">
                  <c:v>35.019323700206115</c:v>
                </c:pt>
                <c:pt idx="199">
                  <c:v>35.116758061533119</c:v>
                </c:pt>
                <c:pt idx="200">
                  <c:v>35.213812737380316</c:v>
                </c:pt>
                <c:pt idx="201">
                  <c:v>35.31049136317305</c:v>
                </c:pt>
                <c:pt idx="202">
                  <c:v>35.406797521965323</c:v>
                </c:pt>
                <c:pt idx="203">
                  <c:v>35.502734745447967</c:v>
                </c:pt>
                <c:pt idx="204">
                  <c:v>35.598306514932567</c:v>
                </c:pt>
                <c:pt idx="205">
                  <c:v>35.693516262311761</c:v>
                </c:pt>
                <c:pt idx="206">
                  <c:v>35.788367370996781</c:v>
                </c:pt>
                <c:pt idx="207">
                  <c:v>35.882863176832601</c:v>
                </c:pt>
                <c:pt idx="208">
                  <c:v>35.977006968991738</c:v>
                </c:pt>
                <c:pt idx="209">
                  <c:v>36.070801990846668</c:v>
                </c:pt>
                <c:pt idx="210">
                  <c:v>36.164251440822262</c:v>
                </c:pt>
                <c:pt idx="211">
                  <c:v>36.257358473228145</c:v>
                </c:pt>
                <c:pt idx="212">
                  <c:v>36.350126199071859</c:v>
                </c:pt>
                <c:pt idx="213">
                  <c:v>36.442557686853277</c:v>
                </c:pt>
                <c:pt idx="214">
                  <c:v>36.534655963340796</c:v>
                </c:pt>
                <c:pt idx="215">
                  <c:v>36.626424014329821</c:v>
                </c:pt>
                <c:pt idx="216">
                  <c:v>36.717864785384023</c:v>
                </c:pt>
                <c:pt idx="217">
                  <c:v>36.808981182559755</c:v>
                </c:pt>
                <c:pt idx="218">
                  <c:v>36.899776073114246</c:v>
                </c:pt>
                <c:pt idx="219">
                  <c:v>36.990252286197979</c:v>
                </c:pt>
                <c:pt idx="220">
                  <c:v>37.080412613531365</c:v>
                </c:pt>
                <c:pt idx="221">
                  <c:v>37.170259810066675</c:v>
                </c:pt>
                <c:pt idx="222">
                  <c:v>37.259796594635276</c:v>
                </c:pt>
                <c:pt idx="223">
                  <c:v>37.349025650580401</c:v>
                </c:pt>
                <c:pt idx="224">
                  <c:v>37.437949626376422</c:v>
                </c:pt>
                <c:pt idx="225">
                  <c:v>37.526571136234246</c:v>
                </c:pt>
                <c:pt idx="226">
                  <c:v>37.614892760693813</c:v>
                </c:pt>
                <c:pt idx="227">
                  <c:v>37.702917047203748</c:v>
                </c:pt>
                <c:pt idx="228">
                  <c:v>37.790646510688369</c:v>
                </c:pt>
                <c:pt idx="229">
                  <c:v>37.878083634102829</c:v>
                </c:pt>
                <c:pt idx="230">
                  <c:v>37.965230868976136</c:v>
                </c:pt>
                <c:pt idx="231">
                  <c:v>38.052090635942761</c:v>
                </c:pt>
                <c:pt idx="232">
                  <c:v>38.138665325263055</c:v>
                </c:pt>
                <c:pt idx="233">
                  <c:v>38.224957297332566</c:v>
                </c:pt>
                <c:pt idx="234">
                  <c:v>38.310968883180834</c:v>
                </c:pt>
                <c:pt idx="235">
                  <c:v>38.396702384959532</c:v>
                </c:pt>
                <c:pt idx="236">
                  <c:v>38.482160076420861</c:v>
                </c:pt>
                <c:pt idx="237">
                  <c:v>38.567344203385488</c:v>
                </c:pt>
                <c:pt idx="238">
                  <c:v>38.652256984201408</c:v>
                </c:pt>
                <c:pt idx="239">
                  <c:v>38.736900610192897</c:v>
                </c:pt>
                <c:pt idx="240">
                  <c:v>38.821277246100664</c:v>
                </c:pt>
                <c:pt idx="241">
                  <c:v>38.905389030512694</c:v>
                </c:pt>
                <c:pt idx="242">
                  <c:v>38.989238076286746</c:v>
                </c:pt>
                <c:pt idx="243">
                  <c:v>39.072826470963939</c:v>
                </c:pt>
                <c:pt idx="244">
                  <c:v>39.156156277174262</c:v>
                </c:pt>
                <c:pt idx="245">
                  <c:v>39.239229533033857</c:v>
                </c:pt>
                <c:pt idx="246">
                  <c:v>39.322048252534465</c:v>
                </c:pt>
                <c:pt idx="247">
                  <c:v>39.40461442592499</c:v>
                </c:pt>
                <c:pt idx="248">
                  <c:v>39.486930020085666</c:v>
                </c:pt>
                <c:pt idx="249">
                  <c:v>39.568996978894781</c:v>
                </c:pt>
                <c:pt idx="250">
                  <c:v>39.650817223588177</c:v>
                </c:pt>
              </c:numCache>
            </c:numRef>
          </c:yVal>
          <c:smooth val="1"/>
        </c:ser>
        <c:ser>
          <c:idx val="21"/>
          <c:order val="21"/>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hx!$AB$5:$AB$255</c:f>
              <c:numCache>
                <c:formatCode>0.00</c:formatCode>
                <c:ptCount val="251"/>
                <c:pt idx="1">
                  <c:v>-34.791313712048151</c:v>
                </c:pt>
                <c:pt idx="2">
                  <c:v>-28.176713103143133</c:v>
                </c:pt>
                <c:pt idx="3">
                  <c:v>-24.13645942133903</c:v>
                </c:pt>
                <c:pt idx="4">
                  <c:v>-21.189040326277318</c:v>
                </c:pt>
                <c:pt idx="5">
                  <c:v>-18.854890386250442</c:v>
                </c:pt>
                <c:pt idx="6">
                  <c:v>-16.915727551050306</c:v>
                </c:pt>
                <c:pt idx="7">
                  <c:v>-15.253164192616463</c:v>
                </c:pt>
                <c:pt idx="8">
                  <c:v>-13.795567378659129</c:v>
                </c:pt>
                <c:pt idx="9">
                  <c:v>-12.496196655538615</c:v>
                </c:pt>
                <c:pt idx="10">
                  <c:v>-11.3228160550794</c:v>
                </c:pt>
                <c:pt idx="11">
                  <c:v>-10.252227492559987</c:v>
                </c:pt>
                <c:pt idx="12">
                  <c:v>-9.2671648456032969</c:v>
                </c:pt>
                <c:pt idx="13">
                  <c:v>-8.3544204259291988</c:v>
                </c:pt>
                <c:pt idx="14">
                  <c:v>-7.5036591014046952</c:v>
                </c:pt>
                <c:pt idx="15">
                  <c:v>-6.7066373400767798</c:v>
                </c:pt>
                <c:pt idx="16">
                  <c:v>-5.9566715501556846</c:v>
                </c:pt>
                <c:pt idx="17">
                  <c:v>-5.2482657650941551</c:v>
                </c:pt>
                <c:pt idx="18">
                  <c:v>-4.5768444923313547</c:v>
                </c:pt>
                <c:pt idx="19">
                  <c:v>-3.9385569150083191</c:v>
                </c:pt>
                <c:pt idx="20">
                  <c:v>-3.3301306908593977</c:v>
                </c:pt>
                <c:pt idx="21">
                  <c:v>-2.7487609682436442</c:v>
                </c:pt>
                <c:pt idx="22">
                  <c:v>-2.1920248862528853</c:v>
                </c:pt>
                <c:pt idx="23">
                  <c:v>-1.6578148304916844</c:v>
                </c:pt>
                <c:pt idx="24">
                  <c:v>-1.144285704351832</c:v>
                </c:pt>
                <c:pt idx="25">
                  <c:v>-0.64981281885373576</c:v>
                </c:pt>
                <c:pt idx="26">
                  <c:v>-0.17295792880224958</c:v>
                </c:pt>
                <c:pt idx="27">
                  <c:v>0.32635723825604668</c:v>
                </c:pt>
                <c:pt idx="28">
                  <c:v>0.83123095404686165</c:v>
                </c:pt>
                <c:pt idx="29">
                  <c:v>1.3205112084540938</c:v>
                </c:pt>
                <c:pt idx="30">
                  <c:v>1.7952030191501773</c:v>
                </c:pt>
                <c:pt idx="31">
                  <c:v>2.2562157358793158</c:v>
                </c:pt>
                <c:pt idx="32">
                  <c:v>2.7043749041526812</c:v>
                </c:pt>
                <c:pt idx="33">
                  <c:v>3.1404323368863363</c:v>
                </c:pt>
                <c:pt idx="34">
                  <c:v>3.5650747102460976</c:v>
                </c:pt>
                <c:pt idx="35">
                  <c:v>3.9789309365742334</c:v>
                </c:pt>
                <c:pt idx="36">
                  <c:v>4.3825785180213543</c:v>
                </c:pt>
                <c:pt idx="37">
                  <c:v>4.7765490459377702</c:v>
                </c:pt>
                <c:pt idx="38">
                  <c:v>5.1613329806516468</c:v>
                </c:pt>
                <c:pt idx="39">
                  <c:v>5.5373838220895504</c:v>
                </c:pt>
                <c:pt idx="40">
                  <c:v>5.905121762367239</c:v>
                </c:pt>
                <c:pt idx="41">
                  <c:v>6.2649368959270362</c:v>
                </c:pt>
                <c:pt idx="42">
                  <c:v>6.6171920502128572</c:v>
                </c:pt>
                <c:pt idx="43">
                  <c:v>6.9622252896314052</c:v>
                </c:pt>
                <c:pt idx="44">
                  <c:v>7.3003521371689235</c:v>
                </c:pt>
                <c:pt idx="45">
                  <c:v>7.631867551143463</c:v>
                </c:pt>
                <c:pt idx="46">
                  <c:v>7.9570476888813158</c:v>
                </c:pt>
                <c:pt idx="47">
                  <c:v>8.2761514843830071</c:v>
                </c:pt>
                <c:pt idx="48">
                  <c:v>8.5894220631078273</c:v>
                </c:pt>
                <c:pt idx="49">
                  <c:v>8.8970880137114783</c:v>
                </c:pt>
                <c:pt idx="50">
                  <c:v>9.199364533803303</c:v>
                </c:pt>
                <c:pt idx="51">
                  <c:v>9.4964544644552742</c:v>
                </c:pt>
                <c:pt idx="52">
                  <c:v>9.7885492262189064</c:v>
                </c:pt>
                <c:pt idx="53">
                  <c:v>10.075829667728096</c:v>
                </c:pt>
                <c:pt idx="54">
                  <c:v>10.358466836535595</c:v>
                </c:pt>
                <c:pt idx="55">
                  <c:v>10.636622680608497</c:v>
                </c:pt>
                <c:pt idx="56">
                  <c:v>10.910450687859274</c:v>
                </c:pt>
                <c:pt idx="57">
                  <c:v>11.180096470187815</c:v>
                </c:pt>
                <c:pt idx="58">
                  <c:v>11.445698297731491</c:v>
                </c:pt>
                <c:pt idx="59">
                  <c:v>11.707387588348665</c:v>
                </c:pt>
                <c:pt idx="60">
                  <c:v>11.965289356776879</c:v>
                </c:pt>
                <c:pt idx="61">
                  <c:v>12.219522627400842</c:v>
                </c:pt>
                <c:pt idx="62">
                  <c:v>12.470200814123071</c:v>
                </c:pt>
                <c:pt idx="63">
                  <c:v>12.717432070444348</c:v>
                </c:pt>
                <c:pt idx="64">
                  <c:v>12.961319612523194</c:v>
                </c:pt>
                <c:pt idx="65">
                  <c:v>13.201962017687205</c:v>
                </c:pt>
                <c:pt idx="66">
                  <c:v>13.439453500608515</c:v>
                </c:pt>
                <c:pt idx="67">
                  <c:v>13.673884169125724</c:v>
                </c:pt>
                <c:pt idx="68">
                  <c:v>13.905340261492135</c:v>
                </c:pt>
                <c:pt idx="69">
                  <c:v>14.133904366650697</c:v>
                </c:pt>
                <c:pt idx="70">
                  <c:v>14.359655628976942</c:v>
                </c:pt>
                <c:pt idx="71">
                  <c:v>14.582669938790207</c:v>
                </c:pt>
                <c:pt idx="72">
                  <c:v>14.80302010980796</c:v>
                </c:pt>
                <c:pt idx="73">
                  <c:v>15.020776044605959</c:v>
                </c:pt>
                <c:pt idx="74">
                  <c:v>15.236004889047365</c:v>
                </c:pt>
                <c:pt idx="75">
                  <c:v>15.448771176554555</c:v>
                </c:pt>
                <c:pt idx="76">
                  <c:v>15.659136963017708</c:v>
                </c:pt>
                <c:pt idx="77">
                  <c:v>15.867161953062222</c:v>
                </c:pt>
                <c:pt idx="78">
                  <c:v>16.072903618333175</c:v>
                </c:pt>
                <c:pt idx="79">
                  <c:v>16.276417308396681</c:v>
                </c:pt>
                <c:pt idx="80">
                  <c:v>16.477756354806342</c:v>
                </c:pt>
                <c:pt idx="81">
                  <c:v>16.676972168835782</c:v>
                </c:pt>
                <c:pt idx="82">
                  <c:v>16.87411433333569</c:v>
                </c:pt>
                <c:pt idx="83">
                  <c:v>17.069230689135789</c:v>
                </c:pt>
                <c:pt idx="84">
                  <c:v>17.262367416377188</c:v>
                </c:pt>
                <c:pt idx="85">
                  <c:v>17.453569111128981</c:v>
                </c:pt>
                <c:pt idx="86">
                  <c:v>17.642878857614683</c:v>
                </c:pt>
                <c:pt idx="87">
                  <c:v>17.830338296347879</c:v>
                </c:pt>
                <c:pt idx="88">
                  <c:v>18.015987688452956</c:v>
                </c:pt>
                <c:pt idx="89">
                  <c:v>18.199865976425265</c:v>
                </c:pt>
                <c:pt idx="90">
                  <c:v>18.382010841565386</c:v>
                </c:pt>
                <c:pt idx="91">
                  <c:v>18.562458758304395</c:v>
                </c:pt>
                <c:pt idx="92">
                  <c:v>18.741245045620499</c:v>
                </c:pt>
                <c:pt idx="93">
                  <c:v>18.918403915732682</c:v>
                </c:pt>
                <c:pt idx="94">
                  <c:v>19.093968520243095</c:v>
                </c:pt>
                <c:pt idx="95">
                  <c:v>19.26797099388747</c:v>
                </c:pt>
                <c:pt idx="96">
                  <c:v>19.440442496041332</c:v>
                </c:pt>
                <c:pt idx="97">
                  <c:v>19.611413250119295</c:v>
                </c:pt>
                <c:pt idx="98">
                  <c:v>19.780912580994752</c:v>
                </c:pt>
                <c:pt idx="99">
                  <c:v>19.948968950558701</c:v>
                </c:pt>
                <c:pt idx="100">
                  <c:v>20.115609991527901</c:v>
                </c:pt>
                <c:pt idx="101">
                  <c:v>20.280862539605263</c:v>
                </c:pt>
                <c:pt idx="102">
                  <c:v>20.444752664088053</c:v>
                </c:pt>
                <c:pt idx="103">
                  <c:v>20.60730569701348</c:v>
                </c:pt>
                <c:pt idx="104">
                  <c:v>20.768546260924762</c:v>
                </c:pt>
                <c:pt idx="105">
                  <c:v>20.928498295335832</c:v>
                </c:pt>
                <c:pt idx="106">
                  <c:v>21.087185081967181</c:v>
                </c:pt>
                <c:pt idx="107">
                  <c:v>21.244629268821157</c:v>
                </c:pt>
                <c:pt idx="108">
                  <c:v>21.400852893160156</c:v>
                </c:pt>
                <c:pt idx="109">
                  <c:v>21.555877403447507</c:v>
                </c:pt>
                <c:pt idx="110">
                  <c:v>21.709723680306965</c:v>
                </c:pt>
                <c:pt idx="111">
                  <c:v>21.862412056553083</c:v>
                </c:pt>
                <c:pt idx="112">
                  <c:v>22.013962336341621</c:v>
                </c:pt>
                <c:pt idx="113">
                  <c:v>22.164393813486246</c:v>
                </c:pt>
                <c:pt idx="114">
                  <c:v>22.313725288984816</c:v>
                </c:pt>
                <c:pt idx="115">
                  <c:v>22.461975087795786</c:v>
                </c:pt>
                <c:pt idx="116">
                  <c:v>22.609161074903351</c:v>
                </c:pt>
                <c:pt idx="117">
                  <c:v>22.755300670707115</c:v>
                </c:pt>
                <c:pt idx="118">
                  <c:v>22.900410865770152</c:v>
                </c:pt>
                <c:pt idx="119">
                  <c:v>23.044508234957643</c:v>
                </c:pt>
                <c:pt idx="120">
                  <c:v>23.187608950995909</c:v>
                </c:pt>
                <c:pt idx="121">
                  <c:v>23.329728797480389</c:v>
                </c:pt>
                <c:pt idx="122">
                  <c:v>23.470883181359198</c:v>
                </c:pt>
                <c:pt idx="123">
                  <c:v>23.611087144917587</c:v>
                </c:pt>
                <c:pt idx="124">
                  <c:v>23.750355377287171</c:v>
                </c:pt>
                <c:pt idx="125">
                  <c:v>23.888702225502264</c:v>
                </c:pt>
                <c:pt idx="126">
                  <c:v>24.026141705124854</c:v>
                </c:pt>
                <c:pt idx="127">
                  <c:v>24.162687510458142</c:v>
                </c:pt>
                <c:pt idx="128">
                  <c:v>24.298353024367756</c:v>
                </c:pt>
                <c:pt idx="129">
                  <c:v>24.433151327728673</c:v>
                </c:pt>
                <c:pt idx="130">
                  <c:v>24.567095208514772</c:v>
                </c:pt>
                <c:pt idx="131">
                  <c:v>24.700197170547327</c:v>
                </c:pt>
                <c:pt idx="132">
                  <c:v>24.832469441917667</c:v>
                </c:pt>
                <c:pt idx="133">
                  <c:v>24.963923983098461</c:v>
                </c:pt>
                <c:pt idx="134">
                  <c:v>25.094572494757479</c:v>
                </c:pt>
                <c:pt idx="135">
                  <c:v>25.224426425286772</c:v>
                </c:pt>
                <c:pt idx="136">
                  <c:v>25.353496978059752</c:v>
                </c:pt>
                <c:pt idx="137">
                  <c:v>25.481795118427911</c:v>
                </c:pt>
                <c:pt idx="138">
                  <c:v>25.609331580468258</c:v>
                </c:pt>
                <c:pt idx="139">
                  <c:v>25.736116873492186</c:v>
                </c:pt>
                <c:pt idx="140">
                  <c:v>25.862161288325886</c:v>
                </c:pt>
                <c:pt idx="141">
                  <c:v>25.987474903371712</c:v>
                </c:pt>
                <c:pt idx="142">
                  <c:v>26.112067590459908</c:v>
                </c:pt>
                <c:pt idx="143">
                  <c:v>26.235949020499042</c:v>
                </c:pt>
                <c:pt idx="144">
                  <c:v>26.35912866893382</c:v>
                </c:pt>
                <c:pt idx="145">
                  <c:v>26.481615821017613</c:v>
                </c:pt>
                <c:pt idx="146">
                  <c:v>26.603419576907854</c:v>
                </c:pt>
                <c:pt idx="147">
                  <c:v>26.724548856590864</c:v>
                </c:pt>
                <c:pt idx="148">
                  <c:v>26.845012404643228</c:v>
                </c:pt>
                <c:pt idx="149">
                  <c:v>26.964818794836113</c:v>
                </c:pt>
                <c:pt idx="150">
                  <c:v>27.083976434588827</c:v>
                </c:pt>
                <c:pt idx="151">
                  <c:v>27.202493569277358</c:v>
                </c:pt>
                <c:pt idx="152">
                  <c:v>27.320378286403709</c:v>
                </c:pt>
                <c:pt idx="153">
                  <c:v>27.437638519631335</c:v>
                </c:pt>
                <c:pt idx="154">
                  <c:v>27.55428205269169</c:v>
                </c:pt>
                <c:pt idx="155">
                  <c:v>27.670316523167187</c:v>
                </c:pt>
                <c:pt idx="156">
                  <c:v>27.785749426154801</c:v>
                </c:pt>
                <c:pt idx="157">
                  <c:v>27.900588117815111</c:v>
                </c:pt>
                <c:pt idx="158">
                  <c:v>28.014839818811012</c:v>
                </c:pt>
                <c:pt idx="159">
                  <c:v>28.128511617640093</c:v>
                </c:pt>
                <c:pt idx="160">
                  <c:v>28.241610473864718</c:v>
                </c:pt>
                <c:pt idx="161">
                  <c:v>28.354143221243717</c:v>
                </c:pt>
                <c:pt idx="162">
                  <c:v>28.466116570768733</c:v>
                </c:pt>
                <c:pt idx="163">
                  <c:v>28.577537113609473</c:v>
                </c:pt>
                <c:pt idx="164">
                  <c:v>28.688411323970499</c:v>
                </c:pt>
                <c:pt idx="165">
                  <c:v>28.798745561862987</c:v>
                </c:pt>
                <c:pt idx="166">
                  <c:v>28.908546075794469</c:v>
                </c:pt>
                <c:pt idx="167">
                  <c:v>29.017819005379614</c:v>
                </c:pt>
                <c:pt idx="168">
                  <c:v>29.126570383874451</c:v>
                </c:pt>
                <c:pt idx="169">
                  <c:v>29.234806140636977</c:v>
                </c:pt>
                <c:pt idx="170">
                  <c:v>29.342532103516895</c:v>
                </c:pt>
                <c:pt idx="171">
                  <c:v>29.449754001176359</c:v>
                </c:pt>
                <c:pt idx="172">
                  <c:v>29.556477465344727</c:v>
                </c:pt>
                <c:pt idx="173">
                  <c:v>29.662708033009189</c:v>
                </c:pt>
                <c:pt idx="174">
                  <c:v>29.768451148543527</c:v>
                </c:pt>
                <c:pt idx="175">
                  <c:v>29.873712165777178</c:v>
                </c:pt>
                <c:pt idx="176">
                  <c:v>29.97849635000663</c:v>
                </c:pt>
                <c:pt idx="177">
                  <c:v>30.082808879950782</c:v>
                </c:pt>
                <c:pt idx="178">
                  <c:v>30.186654849652612</c:v>
                </c:pt>
                <c:pt idx="179">
                  <c:v>30.290039270328492</c:v>
                </c:pt>
                <c:pt idx="180">
                  <c:v>30.392967072167188</c:v>
                </c:pt>
                <c:pt idx="181">
                  <c:v>30.495443106079875</c:v>
                </c:pt>
                <c:pt idx="182">
                  <c:v>30.597472145403046</c:v>
                </c:pt>
                <c:pt idx="183">
                  <c:v>30.699058887555786</c:v>
                </c:pt>
                <c:pt idx="184">
                  <c:v>30.800207955652546</c:v>
                </c:pt>
                <c:pt idx="185">
                  <c:v>30.900923900073522</c:v>
                </c:pt>
                <c:pt idx="186">
                  <c:v>31.001211199993151</c:v>
                </c:pt>
                <c:pt idx="187">
                  <c:v>31.10107426486875</c:v>
                </c:pt>
                <c:pt idx="188">
                  <c:v>31.200517435890148</c:v>
                </c:pt>
                <c:pt idx="189">
                  <c:v>31.299544987391684</c:v>
                </c:pt>
                <c:pt idx="190">
                  <c:v>31.398161128227763</c:v>
                </c:pt>
                <c:pt idx="191">
                  <c:v>31.496370003112894</c:v>
                </c:pt>
                <c:pt idx="192">
                  <c:v>31.594175693927703</c:v>
                </c:pt>
                <c:pt idx="193">
                  <c:v>31.691582220991414</c:v>
                </c:pt>
                <c:pt idx="194">
                  <c:v>31.788593544302408</c:v>
                </c:pt>
                <c:pt idx="195">
                  <c:v>31.885213564747417</c:v>
                </c:pt>
                <c:pt idx="196">
                  <c:v>31.981446125280343</c:v>
                </c:pt>
                <c:pt idx="197">
                  <c:v>32.077295012071858</c:v>
                </c:pt>
                <c:pt idx="198">
                  <c:v>32.17276395563043</c:v>
                </c:pt>
                <c:pt idx="199">
                  <c:v>32.267856631895583</c:v>
                </c:pt>
                <c:pt idx="200">
                  <c:v>32.362576663304559</c:v>
                </c:pt>
                <c:pt idx="201">
                  <c:v>32.456927619832619</c:v>
                </c:pt>
                <c:pt idx="202">
                  <c:v>32.550913020008373</c:v>
                </c:pt>
                <c:pt idx="203">
                  <c:v>32.644536331904348</c:v>
                </c:pt>
                <c:pt idx="204">
                  <c:v>32.737800974103699</c:v>
                </c:pt>
                <c:pt idx="205">
                  <c:v>32.83071031664393</c:v>
                </c:pt>
                <c:pt idx="206">
                  <c:v>32.923267681937986</c:v>
                </c:pt>
                <c:pt idx="207">
                  <c:v>33.015476345673505</c:v>
                </c:pt>
                <c:pt idx="208">
                  <c:v>33.107339537691054</c:v>
                </c:pt>
                <c:pt idx="209">
                  <c:v>33.198860442841287</c:v>
                </c:pt>
                <c:pt idx="210">
                  <c:v>33.290042201822622</c:v>
                </c:pt>
                <c:pt idx="211">
                  <c:v>33.38088791199889</c:v>
                </c:pt>
                <c:pt idx="212">
                  <c:v>33.471400628198531</c:v>
                </c:pt>
                <c:pt idx="213">
                  <c:v>33.561583363495004</c:v>
                </c:pt>
                <c:pt idx="214">
                  <c:v>33.651439089969472</c:v>
                </c:pt>
                <c:pt idx="215">
                  <c:v>33.740970739456067</c:v>
                </c:pt>
                <c:pt idx="216">
                  <c:v>33.830181204270119</c:v>
                </c:pt>
                <c:pt idx="217">
                  <c:v>33.919073337920004</c:v>
                </c:pt>
                <c:pt idx="218">
                  <c:v>34.007649955802954</c:v>
                </c:pt>
                <c:pt idx="219">
                  <c:v>34.095913835885234</c:v>
                </c:pt>
                <c:pt idx="220">
                  <c:v>34.1838677193672</c:v>
                </c:pt>
                <c:pt idx="221">
                  <c:v>34.271514311333426</c:v>
                </c:pt>
                <c:pt idx="222">
                  <c:v>34.358856281388682</c:v>
                </c:pt>
                <c:pt idx="223">
                  <c:v>34.445896264279739</c:v>
                </c:pt>
                <c:pt idx="224">
                  <c:v>34.532636860503629</c:v>
                </c:pt>
                <c:pt idx="225">
                  <c:v>34.619080636902673</c:v>
                </c:pt>
                <c:pt idx="226">
                  <c:v>34.705230127246374</c:v>
                </c:pt>
                <c:pt idx="227">
                  <c:v>34.791087832801047</c:v>
                </c:pt>
                <c:pt idx="228">
                  <c:v>34.876656222886915</c:v>
                </c:pt>
                <c:pt idx="229">
                  <c:v>34.961937735423355</c:v>
                </c:pt>
                <c:pt idx="230">
                  <c:v>35.046934777462624</c:v>
                </c:pt>
                <c:pt idx="231">
                  <c:v>35.131649725711995</c:v>
                </c:pt>
                <c:pt idx="232">
                  <c:v>35.216084927045095</c:v>
                </c:pt>
                <c:pt idx="233">
                  <c:v>35.300242699002311</c:v>
                </c:pt>
                <c:pt idx="234">
                  <c:v>35.384125330280781</c:v>
                </c:pt>
                <c:pt idx="235">
                  <c:v>35.46773508121408</c:v>
                </c:pt>
                <c:pt idx="236">
                  <c:v>35.55107418424199</c:v>
                </c:pt>
                <c:pt idx="237">
                  <c:v>35.634144844370553</c:v>
                </c:pt>
                <c:pt idx="238">
                  <c:v>35.716949239622515</c:v>
                </c:pt>
                <c:pt idx="239">
                  <c:v>35.799489521478712</c:v>
                </c:pt>
                <c:pt idx="240">
                  <c:v>35.881767815310269</c:v>
                </c:pt>
                <c:pt idx="241">
                  <c:v>35.963786220802021</c:v>
                </c:pt>
                <c:pt idx="242">
                  <c:v>36.045546812367441</c:v>
                </c:pt>
                <c:pt idx="243">
                  <c:v>36.127051639555027</c:v>
                </c:pt>
                <c:pt idx="244">
                  <c:v>36.208302727446807</c:v>
                </c:pt>
                <c:pt idx="245">
                  <c:v>36.289302077048369</c:v>
                </c:pt>
                <c:pt idx="246">
                  <c:v>36.370051665671674</c:v>
                </c:pt>
                <c:pt idx="247">
                  <c:v>36.450553447309801</c:v>
                </c:pt>
                <c:pt idx="248">
                  <c:v>36.530809353004585</c:v>
                </c:pt>
                <c:pt idx="249">
                  <c:v>36.610821291206825</c:v>
                </c:pt>
                <c:pt idx="250">
                  <c:v>36.690591148129471</c:v>
                </c:pt>
              </c:numCache>
            </c:numRef>
          </c:yVal>
          <c:smooth val="1"/>
        </c:ser>
        <c:ser>
          <c:idx val="22"/>
          <c:order val="22"/>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hx!$AC$5:$AC$255</c:f>
              <c:numCache>
                <c:formatCode>0.00</c:formatCode>
                <c:ptCount val="251"/>
                <c:pt idx="1">
                  <c:v>-36.026213293387293</c:v>
                </c:pt>
                <c:pt idx="2">
                  <c:v>-29.480831978218031</c:v>
                </c:pt>
                <c:pt idx="3">
                  <c:v>-25.483891956402026</c:v>
                </c:pt>
                <c:pt idx="4">
                  <c:v>-22.568590949598562</c:v>
                </c:pt>
                <c:pt idx="5">
                  <c:v>-20.26020165183688</c:v>
                </c:pt>
                <c:pt idx="6">
                  <c:v>-18.342667811791443</c:v>
                </c:pt>
                <c:pt idx="7">
                  <c:v>-16.698818943100882</c:v>
                </c:pt>
                <c:pt idx="8">
                  <c:v>-15.257763541212277</c:v>
                </c:pt>
                <c:pt idx="9">
                  <c:v>-13.973247708030975</c:v>
                </c:pt>
                <c:pt idx="10">
                  <c:v>-12.81337271983495</c:v>
                </c:pt>
                <c:pt idx="11">
                  <c:v>-11.755184260252088</c:v>
                </c:pt>
                <c:pt idx="12">
                  <c:v>-10.781598365022182</c:v>
                </c:pt>
                <c:pt idx="13">
                  <c:v>-9.8795471927157745</c:v>
                </c:pt>
                <c:pt idx="14">
                  <c:v>-9.0388054066721928</c:v>
                </c:pt>
                <c:pt idx="15">
                  <c:v>-8.2512173195050362</c:v>
                </c:pt>
                <c:pt idx="16">
                  <c:v>-7.5101707645737674</c:v>
                </c:pt>
                <c:pt idx="17">
                  <c:v>-6.8102286656686779</c:v>
                </c:pt>
                <c:pt idx="18">
                  <c:v>-6.1468646804829286</c:v>
                </c:pt>
                <c:pt idx="19">
                  <c:v>-5.5162694556905203</c:v>
                </c:pt>
                <c:pt idx="20">
                  <c:v>-4.9152059626423457</c:v>
                </c:pt>
                <c:pt idx="21">
                  <c:v>-4.3408996825846131</c:v>
                </c:pt>
                <c:pt idx="22">
                  <c:v>-3.7909540093661351</c:v>
                </c:pt>
                <c:pt idx="23">
                  <c:v>-3.2632842112175409</c:v>
                </c:pt>
                <c:pt idx="24">
                  <c:v>-2.7560652608289748</c:v>
                </c:pt>
                <c:pt idx="25">
                  <c:v>-2.2676901722687988</c:v>
                </c:pt>
                <c:pt idx="26">
                  <c:v>-1.7967363983518663</c:v>
                </c:pt>
                <c:pt idx="27">
                  <c:v>-1.3419384827892831</c:v>
                </c:pt>
                <c:pt idx="28">
                  <c:v>-0.9021656170954877</c:v>
                </c:pt>
                <c:pt idx="29">
                  <c:v>-0.4764030808963442</c:v>
                </c:pt>
                <c:pt idx="30">
                  <c:v>-6.3736784473712227E-2</c:v>
                </c:pt>
                <c:pt idx="31">
                  <c:v>0.38200093233650279</c:v>
                </c:pt>
                <c:pt idx="32">
                  <c:v>0.8229013646029042</c:v>
                </c:pt>
                <c:pt idx="33">
                  <c:v>1.2518747268220878</c:v>
                </c:pt>
                <c:pt idx="34">
                  <c:v>1.6695980527050853</c:v>
                </c:pt>
                <c:pt idx="35">
                  <c:v>2.0766914094064735</c:v>
                </c:pt>
                <c:pt idx="36">
                  <c:v>2.4737241645426558</c:v>
                </c:pt>
                <c:pt idx="37">
                  <c:v>2.8612204105035293</c:v>
                </c:pt>
                <c:pt idx="38">
                  <c:v>3.2396636788811168</c:v>
                </c:pt>
                <c:pt idx="39">
                  <c:v>3.60950105398903</c:v>
                </c:pt>
                <c:pt idx="40">
                  <c:v>3.971146775376134</c:v>
                </c:pt>
                <c:pt idx="41">
                  <c:v>4.324985403894253</c:v>
                </c:pt>
                <c:pt idx="42">
                  <c:v>4.6713746134622411</c:v>
                </c:pt>
                <c:pt idx="43">
                  <c:v>5.0106476605636523</c:v>
                </c:pt>
                <c:pt idx="44">
                  <c:v>5.3431155752480652</c:v>
                </c:pt>
                <c:pt idx="45">
                  <c:v>5.6690691106093798</c:v>
                </c:pt>
                <c:pt idx="46">
                  <c:v>5.9887804820992852</c:v>
                </c:pt>
                <c:pt idx="47">
                  <c:v>6.3025049233745278</c:v>
                </c:pt>
                <c:pt idx="48">
                  <c:v>6.6104820814931582</c:v>
                </c:pt>
                <c:pt idx="49">
                  <c:v>6.9129372710248589</c:v>
                </c:pt>
                <c:pt idx="50">
                  <c:v>7.2100826039097772</c:v>
                </c:pt>
                <c:pt idx="51">
                  <c:v>7.5021180095974547</c:v>
                </c:pt>
                <c:pt idx="52">
                  <c:v>7.7892321580482413</c:v>
                </c:pt>
                <c:pt idx="53">
                  <c:v>8.0716032965239979</c:v>
                </c:pt>
                <c:pt idx="54">
                  <c:v>8.349400009684171</c:v>
                </c:pt>
                <c:pt idx="55">
                  <c:v>8.6227819112972668</c:v>
                </c:pt>
                <c:pt idx="56">
                  <c:v>8.8919002748436498</c:v>
                </c:pt>
                <c:pt idx="57">
                  <c:v>9.1568986093959754</c:v>
                </c:pt>
                <c:pt idx="58">
                  <c:v>9.4179131863967545</c:v>
                </c:pt>
                <c:pt idx="59">
                  <c:v>9.6750735222889386</c:v>
                </c:pt>
                <c:pt idx="60">
                  <c:v>9.9285028213802597</c:v>
                </c:pt>
                <c:pt idx="61">
                  <c:v>10.178318382822034</c:v>
                </c:pt>
                <c:pt idx="62">
                  <c:v>10.424631975147395</c:v>
                </c:pt>
                <c:pt idx="63">
                  <c:v>10.667550181433233</c:v>
                </c:pt>
                <c:pt idx="64">
                  <c:v>10.907174717817</c:v>
                </c:pt>
                <c:pt idx="65">
                  <c:v>11.143602727807004</c:v>
                </c:pt>
                <c:pt idx="66">
                  <c:v>11.376927054567989</c:v>
                </c:pt>
                <c:pt idx="67">
                  <c:v>11.607236493136956</c:v>
                </c:pt>
                <c:pt idx="68">
                  <c:v>11.834616024324415</c:v>
                </c:pt>
                <c:pt idx="69">
                  <c:v>12.059147031879327</c:v>
                </c:pt>
                <c:pt idx="70">
                  <c:v>12.280907504339154</c:v>
                </c:pt>
                <c:pt idx="71">
                  <c:v>12.499972222847155</c:v>
                </c:pt>
                <c:pt idx="72">
                  <c:v>12.716412936095598</c:v>
                </c:pt>
                <c:pt idx="73">
                  <c:v>12.930298523442666</c:v>
                </c:pt>
                <c:pt idx="74">
                  <c:v>13.141695147153079</c:v>
                </c:pt>
                <c:pt idx="75">
                  <c:v>13.350666394623804</c:v>
                </c:pt>
                <c:pt idx="76">
                  <c:v>13.557273411377935</c:v>
                </c:pt>
                <c:pt idx="77">
                  <c:v>13.761575025538846</c:v>
                </c:pt>
                <c:pt idx="78">
                  <c:v>13.963627864433537</c:v>
                </c:pt>
                <c:pt idx="79">
                  <c:v>14.163486463916797</c:v>
                </c:pt>
                <c:pt idx="80">
                  <c:v>14.361203370956535</c:v>
                </c:pt>
                <c:pt idx="81">
                  <c:v>14.556829239974554</c:v>
                </c:pt>
                <c:pt idx="82">
                  <c:v>14.750412923394514</c:v>
                </c:pt>
                <c:pt idx="83">
                  <c:v>14.942001556811842</c:v>
                </c:pt>
                <c:pt idx="84">
                  <c:v>15.131640639165525</c:v>
                </c:pt>
                <c:pt idx="85">
                  <c:v>15.319374108260707</c:v>
                </c:pt>
                <c:pt idx="86">
                  <c:v>15.505244411963247</c:v>
                </c:pt>
                <c:pt idx="87">
                  <c:v>15.689292575361247</c:v>
                </c:pt>
                <c:pt idx="88">
                  <c:v>15.871558264165689</c:v>
                </c:pt>
                <c:pt idx="89">
                  <c:v>16.052079844600833</c:v>
                </c:pt>
                <c:pt idx="90">
                  <c:v>16.230894440015891</c:v>
                </c:pt>
                <c:pt idx="91">
                  <c:v>16.408037984431793</c:v>
                </c:pt>
                <c:pt idx="92">
                  <c:v>16.583545273220476</c:v>
                </c:pt>
                <c:pt idx="93">
                  <c:v>16.75745001109987</c:v>
                </c:pt>
                <c:pt idx="94">
                  <c:v>16.929784857613868</c:v>
                </c:pt>
                <c:pt idx="95">
                  <c:v>17.100581470254244</c:v>
                </c:pt>
                <c:pt idx="96">
                  <c:v>17.269870545370413</c:v>
                </c:pt>
                <c:pt idx="97">
                  <c:v>17.437681857001994</c:v>
                </c:pt>
                <c:pt idx="98">
                  <c:v>17.604044293760161</c:v>
                </c:pt>
                <c:pt idx="99">
                  <c:v>17.768985893874493</c:v>
                </c:pt>
                <c:pt idx="100">
                  <c:v>17.932533878514189</c:v>
                </c:pt>
                <c:pt idx="101">
                  <c:v>18.094714683484877</c:v>
                </c:pt>
                <c:pt idx="102">
                  <c:v>18.255553989395519</c:v>
                </c:pt>
                <c:pt idx="103">
                  <c:v>18.415076750383406</c:v>
                </c:pt>
                <c:pt idx="104">
                  <c:v>18.573307221479514</c:v>
                </c:pt>
                <c:pt idx="105">
                  <c:v>18.73026898469092</c:v>
                </c:pt>
                <c:pt idx="106">
                  <c:v>18.885984973871981</c:v>
                </c:pt>
                <c:pt idx="107">
                  <c:v>19.040477498451573</c:v>
                </c:pt>
                <c:pt idx="108">
                  <c:v>19.193768266078912</c:v>
                </c:pt>
                <c:pt idx="109">
                  <c:v>19.345878404246914</c:v>
                </c:pt>
                <c:pt idx="110">
                  <c:v>19.496828480948153</c:v>
                </c:pt>
                <c:pt idx="111">
                  <c:v>19.646638524415124</c:v>
                </c:pt>
                <c:pt idx="112">
                  <c:v>19.795328041993059</c:v>
                </c:pt>
                <c:pt idx="113">
                  <c:v>19.94291603819104</c:v>
                </c:pt>
                <c:pt idx="114">
                  <c:v>20.089421031954021</c:v>
                </c:pt>
                <c:pt idx="115">
                  <c:v>20.234861073195709</c:v>
                </c:pt>
                <c:pt idx="116">
                  <c:v>20.379253758630465</c:v>
                </c:pt>
                <c:pt idx="117">
                  <c:v>20.522616246939315</c:v>
                </c:pt>
                <c:pt idx="118">
                  <c:v>20.664965273303746</c:v>
                </c:pt>
                <c:pt idx="119">
                  <c:v>20.806317163338665</c:v>
                </c:pt>
                <c:pt idx="120">
                  <c:v>20.946687846454203</c:v>
                </c:pt>
                <c:pt idx="121">
                  <c:v>21.086092868674388</c:v>
                </c:pt>
                <c:pt idx="122">
                  <c:v>21.224547404938882</c:v>
                </c:pt>
                <c:pt idx="123">
                  <c:v>21.362066270912916</c:v>
                </c:pt>
                <c:pt idx="124">
                  <c:v>21.498663934328683</c:v>
                </c:pt>
                <c:pt idx="125">
                  <c:v>21.634354525880553</c:v>
                </c:pt>
                <c:pt idx="126">
                  <c:v>21.769151849695053</c:v>
                </c:pt>
                <c:pt idx="127">
                  <c:v>21.903069393395299</c:v>
                </c:pt>
                <c:pt idx="128">
                  <c:v>22.036120337778868</c:v>
                </c:pt>
                <c:pt idx="129">
                  <c:v>22.168317566126753</c:v>
                </c:pt>
                <c:pt idx="130">
                  <c:v>22.299673673160072</c:v>
                </c:pt>
                <c:pt idx="131">
                  <c:v>22.430200973660689</c:v>
                </c:pt>
                <c:pt idx="132">
                  <c:v>22.559911510770682</c:v>
                </c:pt>
                <c:pt idx="133">
                  <c:v>22.688817063985013</c:v>
                </c:pt>
                <c:pt idx="134">
                  <c:v>22.816929156850819</c:v>
                </c:pt>
                <c:pt idx="135">
                  <c:v>22.9442590643865</c:v>
                </c:pt>
                <c:pt idx="136">
                  <c:v>23.070817820232364</c:v>
                </c:pt>
                <c:pt idx="137">
                  <c:v>23.196616223544858</c:v>
                </c:pt>
                <c:pt idx="138">
                  <c:v>23.321664845645131</c:v>
                </c:pt>
                <c:pt idx="139">
                  <c:v>23.445974036432418</c:v>
                </c:pt>
                <c:pt idx="140">
                  <c:v>23.569553930572276</c:v>
                </c:pt>
                <c:pt idx="141">
                  <c:v>23.692414453469048</c:v>
                </c:pt>
                <c:pt idx="142">
                  <c:v>23.814565327031609</c:v>
                </c:pt>
                <c:pt idx="143">
                  <c:v>23.936016075240893</c:v>
                </c:pt>
                <c:pt idx="144">
                  <c:v>24.05677602952737</c:v>
                </c:pt>
                <c:pt idx="145">
                  <c:v>24.176854333966261</c:v>
                </c:pt>
                <c:pt idx="146">
                  <c:v>24.296259950297824</c:v>
                </c:pt>
                <c:pt idx="147">
                  <c:v>24.415001662779822</c:v>
                </c:pt>
                <c:pt idx="148">
                  <c:v>24.53308808287882</c:v>
                </c:pt>
                <c:pt idx="149">
                  <c:v>24.650527653806741</c:v>
                </c:pt>
                <c:pt idx="150">
                  <c:v>24.767328654908773</c:v>
                </c:pt>
                <c:pt idx="151">
                  <c:v>24.883499205908549</c:v>
                </c:pt>
                <c:pt idx="152">
                  <c:v>24.999047271015897</c:v>
                </c:pt>
                <c:pt idx="153">
                  <c:v>25.113980662902833</c:v>
                </c:pt>
                <c:pt idx="154">
                  <c:v>25.228307046552615</c:v>
                </c:pt>
                <c:pt idx="155">
                  <c:v>25.342033942986646</c:v>
                </c:pt>
                <c:pt idx="156">
                  <c:v>25.455168732874291</c:v>
                </c:pt>
                <c:pt idx="157">
                  <c:v>25.567718660029264</c:v>
                </c:pt>
                <c:pt idx="158">
                  <c:v>25.679690834797697</c:v>
                </c:pt>
                <c:pt idx="159">
                  <c:v>25.791092237341282</c:v>
                </c:pt>
                <c:pt idx="160">
                  <c:v>25.901929720819616</c:v>
                </c:pt>
                <c:pt idx="161">
                  <c:v>26.012210014475457</c:v>
                </c:pt>
                <c:pt idx="162">
                  <c:v>26.12193972662638</c:v>
                </c:pt>
                <c:pt idx="163">
                  <c:v>26.231125347566326</c:v>
                </c:pt>
                <c:pt idx="164">
                  <c:v>26.339773252380056</c:v>
                </c:pt>
                <c:pt idx="165">
                  <c:v>26.447889703674051</c:v>
                </c:pt>
                <c:pt idx="166">
                  <c:v>26.55548085422631</c:v>
                </c:pt>
                <c:pt idx="167">
                  <c:v>26.662552749558408</c:v>
                </c:pt>
                <c:pt idx="168">
                  <c:v>26.769111330432295</c:v>
                </c:pt>
                <c:pt idx="169">
                  <c:v>26.875162435274348</c:v>
                </c:pt>
                <c:pt idx="170">
                  <c:v>26.980711802529633</c:v>
                </c:pt>
                <c:pt idx="171">
                  <c:v>27.085765072948377</c:v>
                </c:pt>
                <c:pt idx="172">
                  <c:v>27.190327791807064</c:v>
                </c:pt>
                <c:pt idx="173">
                  <c:v>27.294405411066712</c:v>
                </c:pt>
                <c:pt idx="174">
                  <c:v>27.398003291469927</c:v>
                </c:pt>
                <c:pt idx="175">
                  <c:v>27.501126704579306</c:v>
                </c:pt>
                <c:pt idx="176">
                  <c:v>27.603780834758872</c:v>
                </c:pt>
                <c:pt idx="177">
                  <c:v>27.705970781100426</c:v>
                </c:pt>
                <c:pt idx="178">
                  <c:v>27.807701559296973</c:v>
                </c:pt>
                <c:pt idx="179">
                  <c:v>27.908978103464477</c:v>
                </c:pt>
                <c:pt idx="180">
                  <c:v>28.009805267914096</c:v>
                </c:pt>
                <c:pt idx="181">
                  <c:v>28.110187828876192</c:v>
                </c:pt>
                <c:pt idx="182">
                  <c:v>28.210130486177917</c:v>
                </c:pt>
                <c:pt idx="183">
                  <c:v>28.309637864875704</c:v>
                </c:pt>
                <c:pt idx="184">
                  <c:v>28.408714516844206</c:v>
                </c:pt>
                <c:pt idx="185">
                  <c:v>28.507364922323035</c:v>
                </c:pt>
                <c:pt idx="186">
                  <c:v>28.605593491422695</c:v>
                </c:pt>
                <c:pt idx="187">
                  <c:v>28.703404565590951</c:v>
                </c:pt>
                <c:pt idx="188">
                  <c:v>28.800802419040792</c:v>
                </c:pt>
                <c:pt idx="189">
                  <c:v>28.897791260141489</c:v>
                </c:pt>
                <c:pt idx="190">
                  <c:v>28.994375232773429</c:v>
                </c:pt>
                <c:pt idx="191">
                  <c:v>29.090558417648417</c:v>
                </c:pt>
                <c:pt idx="192">
                  <c:v>29.186344833595975</c:v>
                </c:pt>
                <c:pt idx="193">
                  <c:v>29.281738438816951</c:v>
                </c:pt>
                <c:pt idx="194">
                  <c:v>29.376743132105439</c:v>
                </c:pt>
                <c:pt idx="195">
                  <c:v>29.471362754040015</c:v>
                </c:pt>
                <c:pt idx="196">
                  <c:v>29.565601088144859</c:v>
                </c:pt>
                <c:pt idx="197">
                  <c:v>29.659461862022198</c:v>
                </c:pt>
                <c:pt idx="198">
                  <c:v>29.752948748456575</c:v>
                </c:pt>
                <c:pt idx="199">
                  <c:v>29.846065366491729</c:v>
                </c:pt>
                <c:pt idx="200">
                  <c:v>29.938815282481364</c:v>
                </c:pt>
                <c:pt idx="201">
                  <c:v>30.031202011113756</c:v>
                </c:pt>
                <c:pt idx="202">
                  <c:v>30.123229016412061</c:v>
                </c:pt>
                <c:pt idx="203">
                  <c:v>30.214899712709823</c:v>
                </c:pt>
                <c:pt idx="204">
                  <c:v>30.306217465603403</c:v>
                </c:pt>
                <c:pt idx="205">
                  <c:v>30.397185592881485</c:v>
                </c:pt>
                <c:pt idx="206">
                  <c:v>30.487807365432303</c:v>
                </c:pt>
                <c:pt idx="207">
                  <c:v>30.578086008129603</c:v>
                </c:pt>
                <c:pt idx="208">
                  <c:v>30.668024700697394</c:v>
                </c:pt>
                <c:pt idx="209">
                  <c:v>30.7576265785546</c:v>
                </c:pt>
                <c:pt idx="210">
                  <c:v>30.846894733639893</c:v>
                </c:pt>
                <c:pt idx="211">
                  <c:v>30.935832215217253</c:v>
                </c:pt>
                <c:pt idx="212">
                  <c:v>31.024442030663074</c:v>
                </c:pt>
                <c:pt idx="213">
                  <c:v>31.11272714623486</c:v>
                </c:pt>
                <c:pt idx="214">
                  <c:v>31.200690487822499</c:v>
                </c:pt>
                <c:pt idx="215">
                  <c:v>31.288334941682272</c:v>
                </c:pt>
                <c:pt idx="216">
                  <c:v>31.375663355154202</c:v>
                </c:pt>
                <c:pt idx="217">
                  <c:v>31.462678537363196</c:v>
                </c:pt>
                <c:pt idx="218">
                  <c:v>31.549383259904339</c:v>
                </c:pt>
                <c:pt idx="219">
                  <c:v>31.63578025751287</c:v>
                </c:pt>
                <c:pt idx="220">
                  <c:v>31.721872228719263</c:v>
                </c:pt>
                <c:pt idx="221">
                  <c:v>31.807661836489537</c:v>
                </c:pt>
                <c:pt idx="222">
                  <c:v>31.893151708851661</c:v>
                </c:pt>
                <c:pt idx="223">
                  <c:v>31.978344439508092</c:v>
                </c:pt>
                <c:pt idx="224">
                  <c:v>32.063242588434719</c:v>
                </c:pt>
                <c:pt idx="225">
                  <c:v>32.147848682467021</c:v>
                </c:pt>
                <c:pt idx="226">
                  <c:v>32.232165215873231</c:v>
                </c:pt>
                <c:pt idx="227">
                  <c:v>32.316194650915271</c:v>
                </c:pt>
                <c:pt idx="228">
                  <c:v>32.399939418397516</c:v>
                </c:pt>
                <c:pt idx="229">
                  <c:v>32.483401918203917</c:v>
                </c:pt>
                <c:pt idx="230">
                  <c:v>32.566584519823451</c:v>
                </c:pt>
                <c:pt idx="231">
                  <c:v>32.649489562864602</c:v>
                </c:pt>
                <c:pt idx="232">
                  <c:v>32.732119357558865</c:v>
                </c:pt>
                <c:pt idx="233">
                  <c:v>32.814476185253625</c:v>
                </c:pt>
                <c:pt idx="234">
                  <c:v>32.896562298894736</c:v>
                </c:pt>
                <c:pt idx="235">
                  <c:v>32.978379923499013</c:v>
                </c:pt>
                <c:pt idx="236">
                  <c:v>33.059931256616885</c:v>
                </c:pt>
                <c:pt idx="237">
                  <c:v>33.141218468785482</c:v>
                </c:pt>
                <c:pt idx="238">
                  <c:v>33.222243703972303</c:v>
                </c:pt>
                <c:pt idx="239">
                  <c:v>33.303009080009879</c:v>
                </c:pt>
                <c:pt idx="240">
                  <c:v>33.383516689021519</c:v>
                </c:pt>
                <c:pt idx="241">
                  <c:v>33.463768597838239</c:v>
                </c:pt>
                <c:pt idx="242">
                  <c:v>33.543766848407508</c:v>
                </c:pt>
                <c:pt idx="243">
                  <c:v>33.62351345819345</c:v>
                </c:pt>
                <c:pt idx="244">
                  <c:v>33.703010420569228</c:v>
                </c:pt>
                <c:pt idx="245">
                  <c:v>33.782259705201362</c:v>
                </c:pt>
                <c:pt idx="246">
                  <c:v>33.861263258426554</c:v>
                </c:pt>
                <c:pt idx="247">
                  <c:v>33.940023003620922</c:v>
                </c:pt>
                <c:pt idx="248">
                  <c:v>34.018540841561929</c:v>
                </c:pt>
                <c:pt idx="249">
                  <c:v>34.09681865078327</c:v>
                </c:pt>
                <c:pt idx="250">
                  <c:v>34.174858287922561</c:v>
                </c:pt>
              </c:numCache>
            </c:numRef>
          </c:yVal>
          <c:smooth val="1"/>
        </c:ser>
        <c:ser>
          <c:idx val="23"/>
          <c:order val="23"/>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hx!$AD$5:$AD$255</c:f>
              <c:numCache>
                <c:formatCode>0.00</c:formatCode>
                <c:ptCount val="251"/>
                <c:pt idx="1">
                  <c:v>-37.104956661929208</c:v>
                </c:pt>
                <c:pt idx="2">
                  <c:v>-30.619738001654756</c:v>
                </c:pt>
                <c:pt idx="3">
                  <c:v>-26.660432835038637</c:v>
                </c:pt>
                <c:pt idx="4">
                  <c:v>-23.773033387441245</c:v>
                </c:pt>
                <c:pt idx="5">
                  <c:v>-21.487019510649933</c:v>
                </c:pt>
                <c:pt idx="6">
                  <c:v>-19.588270178027376</c:v>
                </c:pt>
                <c:pt idx="7">
                  <c:v>-17.960673023964571</c:v>
                </c:pt>
                <c:pt idx="8">
                  <c:v>-16.533981040335483</c:v>
                </c:pt>
                <c:pt idx="9">
                  <c:v>-15.262363238928618</c:v>
                </c:pt>
                <c:pt idx="10">
                  <c:v>-14.114214004536574</c:v>
                </c:pt>
                <c:pt idx="11">
                  <c:v>-13.066790872797137</c:v>
                </c:pt>
                <c:pt idx="12">
                  <c:v>-12.103168178456512</c:v>
                </c:pt>
                <c:pt idx="13">
                  <c:v>-11.210399603221019</c:v>
                </c:pt>
                <c:pt idx="14">
                  <c:v>-10.378355215000436</c:v>
                </c:pt>
                <c:pt idx="15">
                  <c:v>-9.5989556536716769</c:v>
                </c:pt>
                <c:pt idx="16">
                  <c:v>-8.8656508105308269</c:v>
                </c:pt>
                <c:pt idx="17">
                  <c:v>-8.1730547743435373</c:v>
                </c:pt>
                <c:pt idx="18">
                  <c:v>-7.5166839038053102</c:v>
                </c:pt>
                <c:pt idx="19">
                  <c:v>-6.892764867197771</c:v>
                </c:pt>
                <c:pt idx="20">
                  <c:v>-6.2980913136759664</c:v>
                </c:pt>
                <c:pt idx="21">
                  <c:v>-5.7299150745597469</c:v>
                </c:pt>
                <c:pt idx="22">
                  <c:v>-5.1858623504137489</c:v>
                </c:pt>
                <c:pt idx="23">
                  <c:v>-4.6638682863327894</c:v>
                </c:pt>
                <c:pt idx="24">
                  <c:v>-4.1621252875998653</c:v>
                </c:pt>
                <c:pt idx="25">
                  <c:v>-3.6790417450890915</c:v>
                </c:pt>
                <c:pt idx="26">
                  <c:v>-3.2132087464989443</c:v>
                </c:pt>
                <c:pt idx="27">
                  <c:v>-2.7633729843662329</c:v>
                </c:pt>
                <c:pt idx="28">
                  <c:v>-2.3284145232824658</c:v>
                </c:pt>
                <c:pt idx="29">
                  <c:v>-1.9073284143866802</c:v>
                </c:pt>
                <c:pt idx="30">
                  <c:v>-1.4992093831933282</c:v>
                </c:pt>
                <c:pt idx="31">
                  <c:v>-1.1032389928411055</c:v>
                </c:pt>
                <c:pt idx="32">
                  <c:v>-0.71867481650777254</c:v>
                </c:pt>
                <c:pt idx="33">
                  <c:v>-0.34484125223626894</c:v>
                </c:pt>
                <c:pt idx="34">
                  <c:v>2.1986260545999059E-2</c:v>
                </c:pt>
                <c:pt idx="35">
                  <c:v>0.42324188658978557</c:v>
                </c:pt>
                <c:pt idx="36">
                  <c:v>0.81456485084170183</c:v>
                </c:pt>
                <c:pt idx="37">
                  <c:v>1.196472761369737</c:v>
                </c:pt>
                <c:pt idx="38">
                  <c:v>1.5694431586852122</c:v>
                </c:pt>
                <c:pt idx="39">
                  <c:v>1.9339175798580079</c:v>
                </c:pt>
                <c:pt idx="40">
                  <c:v>2.2903051177043956</c:v>
                </c:pt>
                <c:pt idx="41">
                  <c:v>2.6389855487272733</c:v>
                </c:pt>
                <c:pt idx="42">
                  <c:v>2.9803120912169057</c:v>
                </c:pt>
                <c:pt idx="43">
                  <c:v>3.314613844933481</c:v>
                </c:pt>
                <c:pt idx="44">
                  <c:v>3.6421979556231587</c:v>
                </c:pt>
                <c:pt idx="45">
                  <c:v>3.9633515409021882</c:v>
                </c:pt>
                <c:pt idx="46">
                  <c:v>4.278343408495024</c:v>
                </c:pt>
                <c:pt idx="47">
                  <c:v>4.5874255932075592</c:v>
                </c:pt>
                <c:pt idx="48">
                  <c:v>4.8908347351790891</c:v>
                </c:pt>
                <c:pt idx="49">
                  <c:v>5.188793318745013</c:v>
                </c:pt>
                <c:pt idx="50">
                  <c:v>5.481510788543785</c:v>
                </c:pt>
                <c:pt idx="51">
                  <c:v>5.7691845572262732</c:v>
                </c:pt>
                <c:pt idx="52">
                  <c:v>6.0520009171994307</c:v>
                </c:pt>
                <c:pt idx="53">
                  <c:v>6.3301358672003278</c:v>
                </c:pt>
                <c:pt idx="54">
                  <c:v>6.6037558631026734</c:v>
                </c:pt>
                <c:pt idx="55">
                  <c:v>6.8730185011662144</c:v>
                </c:pt>
                <c:pt idx="56">
                  <c:v>7.1380731409175304</c:v>
                </c:pt>
                <c:pt idx="57">
                  <c:v>7.3990614739719494</c:v>
                </c:pt>
                <c:pt idx="58">
                  <c:v>7.6561180443483767</c:v>
                </c:pt>
                <c:pt idx="59">
                  <c:v>7.9093707251733516</c:v>
                </c:pt>
                <c:pt idx="60">
                  <c:v>8.1589411561022942</c:v>
                </c:pt>
                <c:pt idx="61">
                  <c:v>8.4049451452918333</c:v>
                </c:pt>
                <c:pt idx="62">
                  <c:v>8.6474930393265872</c:v>
                </c:pt>
                <c:pt idx="63">
                  <c:v>8.886690064127782</c:v>
                </c:pt>
                <c:pt idx="64">
                  <c:v>9.1226366395416605</c:v>
                </c:pt>
                <c:pt idx="65">
                  <c:v>9.3554286700170017</c:v>
                </c:pt>
                <c:pt idx="66">
                  <c:v>9.5851578135269797</c:v>
                </c:pt>
                <c:pt idx="67">
                  <c:v>9.8119117306667079</c:v>
                </c:pt>
                <c:pt idx="68">
                  <c:v>10.035774315660341</c:v>
                </c:pt>
                <c:pt idx="69">
                  <c:v>10.256825910836852</c:v>
                </c:pt>
                <c:pt idx="70">
                  <c:v>10.475143505978654</c:v>
                </c:pt>
                <c:pt idx="71">
                  <c:v>10.690800923809565</c:v>
                </c:pt>
                <c:pt idx="72">
                  <c:v>10.903868992766718</c:v>
                </c:pt>
                <c:pt idx="73">
                  <c:v>11.114415708091542</c:v>
                </c:pt>
                <c:pt idx="74">
                  <c:v>11.32250638217802</c:v>
                </c:pt>
                <c:pt idx="75">
                  <c:v>11.528203785029348</c:v>
                </c:pt>
                <c:pt idx="76">
                  <c:v>11.731568275596388</c:v>
                </c:pt>
                <c:pt idx="77">
                  <c:v>11.932657924701378</c:v>
                </c:pt>
                <c:pt idx="78">
                  <c:v>12.131528630187795</c:v>
                </c:pt>
                <c:pt idx="79">
                  <c:v>12.32823422488093</c:v>
                </c:pt>
                <c:pt idx="80">
                  <c:v>12.522826577892776</c:v>
                </c:pt>
                <c:pt idx="81">
                  <c:v>12.715355689759456</c:v>
                </c:pt>
                <c:pt idx="82">
                  <c:v>12.905869781857561</c:v>
                </c:pt>
                <c:pt idx="83">
                  <c:v>13.094415380508831</c:v>
                </c:pt>
                <c:pt idx="84">
                  <c:v>13.281037396148669</c:v>
                </c:pt>
                <c:pt idx="85">
                  <c:v>13.465779197903007</c:v>
                </c:pt>
                <c:pt idx="86">
                  <c:v>13.648682683890748</c:v>
                </c:pt>
                <c:pt idx="87">
                  <c:v>13.829788347543268</c:v>
                </c:pt>
                <c:pt idx="88">
                  <c:v>14.009135340209578</c:v>
                </c:pt>
                <c:pt idx="89">
                  <c:v>14.186761530294923</c:v>
                </c:pt>
                <c:pt idx="90">
                  <c:v>14.362703559161385</c:v>
                </c:pt>
                <c:pt idx="91">
                  <c:v>14.536996894001575</c:v>
                </c:pt>
                <c:pt idx="92">
                  <c:v>14.709675877880624</c:v>
                </c:pt>
                <c:pt idx="93">
                  <c:v>14.880773777127253</c:v>
                </c:pt>
                <c:pt idx="94">
                  <c:v>15.050322826241107</c:v>
                </c:pt>
                <c:pt idx="95">
                  <c:v>15.218354270471483</c:v>
                </c:pt>
                <c:pt idx="96">
                  <c:v>15.38489840621131</c:v>
                </c:pt>
                <c:pt idx="97">
                  <c:v>15.549984619340112</c:v>
                </c:pt>
                <c:pt idx="98">
                  <c:v>15.713641421639878</c:v>
                </c:pt>
                <c:pt idx="99">
                  <c:v>15.875896485399444</c:v>
                </c:pt>
                <c:pt idx="100">
                  <c:v>16.036776676314755</c:v>
                </c:pt>
                <c:pt idx="101">
                  <c:v>16.19630808478507</c:v>
                </c:pt>
                <c:pt idx="102">
                  <c:v>16.35451605569838</c:v>
                </c:pt>
                <c:pt idx="103">
                  <c:v>16.511425216792929</c:v>
                </c:pt>
                <c:pt idx="104">
                  <c:v>16.667059505676168</c:v>
                </c:pt>
                <c:pt idx="105">
                  <c:v>16.821442195576783</c:v>
                </c:pt>
                <c:pt idx="106">
                  <c:v>16.974595919900739</c:v>
                </c:pt>
                <c:pt idx="107">
                  <c:v>17.126542695657655</c:v>
                </c:pt>
                <c:pt idx="108">
                  <c:v>17.277303945819369</c:v>
                </c:pt>
                <c:pt idx="109">
                  <c:v>17.426900520668841</c:v>
                </c:pt>
                <c:pt idx="110">
                  <c:v>17.575352718193898</c:v>
                </c:pt>
                <c:pt idx="111">
                  <c:v>17.722680303576631</c:v>
                </c:pt>
                <c:pt idx="112">
                  <c:v>17.868902527826378</c:v>
                </c:pt>
                <c:pt idx="113">
                  <c:v>18.014038145601322</c:v>
                </c:pt>
                <c:pt idx="114">
                  <c:v>18.158105432260687</c:v>
                </c:pt>
                <c:pt idx="115">
                  <c:v>18.301122200187272</c:v>
                </c:pt>
                <c:pt idx="116">
                  <c:v>18.443105814417702</c:v>
                </c:pt>
                <c:pt idx="117">
                  <c:v>18.584073207615219</c:v>
                </c:pt>
                <c:pt idx="118">
                  <c:v>18.724040894418227</c:v>
                </c:pt>
                <c:pt idx="119">
                  <c:v>18.863024985195597</c:v>
                </c:pt>
                <c:pt idx="120">
                  <c:v>19.001041199238017</c:v>
                </c:pt>
                <c:pt idx="121">
                  <c:v>19.138104877412975</c:v>
                </c:pt>
                <c:pt idx="122">
                  <c:v>19.274230994309519</c:v>
                </c:pt>
                <c:pt idx="123">
                  <c:v>19.409434169897256</c:v>
                </c:pt>
                <c:pt idx="124">
                  <c:v>19.543728680722793</c:v>
                </c:pt>
                <c:pt idx="125">
                  <c:v>19.677128470665707</c:v>
                </c:pt>
                <c:pt idx="126">
                  <c:v>19.809647161274508</c:v>
                </c:pt>
                <c:pt idx="127">
                  <c:v>19.941298061702355</c:v>
                </c:pt>
                <c:pt idx="128">
                  <c:v>20.072094178261011</c:v>
                </c:pt>
                <c:pt idx="129">
                  <c:v>20.202048223610497</c:v>
                </c:pt>
                <c:pt idx="130">
                  <c:v>20.331172625601134</c:v>
                </c:pt>
                <c:pt idx="131">
                  <c:v>20.459479535783636</c:v>
                </c:pt>
                <c:pt idx="132">
                  <c:v>20.586980837602091</c:v>
                </c:pt>
                <c:pt idx="133">
                  <c:v>20.713688154284142</c:v>
                </c:pt>
                <c:pt idx="134">
                  <c:v>20.83961285644147</c:v>
                </c:pt>
                <c:pt idx="135">
                  <c:v>20.964766069393548</c:v>
                </c:pt>
                <c:pt idx="136">
                  <c:v>21.089158680226546</c:v>
                </c:pt>
                <c:pt idx="137">
                  <c:v>21.21280134459893</c:v>
                </c:pt>
                <c:pt idx="138">
                  <c:v>21.33570449330449</c:v>
                </c:pt>
                <c:pt idx="139">
                  <c:v>21.457878338603336</c:v>
                </c:pt>
                <c:pt idx="140">
                  <c:v>21.57933288033049</c:v>
                </c:pt>
                <c:pt idx="141">
                  <c:v>21.700077911791475</c:v>
                </c:pt>
                <c:pt idx="142">
                  <c:v>21.820123025453846</c:v>
                </c:pt>
                <c:pt idx="143">
                  <c:v>21.939477618442979</c:v>
                </c:pt>
                <c:pt idx="144">
                  <c:v>22.058150897850311</c:v>
                </c:pt>
                <c:pt idx="145">
                  <c:v>22.176151885861501</c:v>
                </c:pt>
                <c:pt idx="146">
                  <c:v>22.293489424712121</c:v>
                </c:pt>
                <c:pt idx="147">
                  <c:v>22.410172181477364</c:v>
                </c:pt>
                <c:pt idx="148">
                  <c:v>22.526208652702934</c:v>
                </c:pt>
                <c:pt idx="149">
                  <c:v>22.641607168882999</c:v>
                </c:pt>
                <c:pt idx="150">
                  <c:v>22.756375898791397</c:v>
                </c:pt>
                <c:pt idx="151">
                  <c:v>22.870522853672014</c:v>
                </c:pt>
                <c:pt idx="152">
                  <c:v>22.98405589129348</c:v>
                </c:pt>
                <c:pt idx="153">
                  <c:v>23.096982719873679</c:v>
                </c:pt>
                <c:pt idx="154">
                  <c:v>23.209310901879093</c:v>
                </c:pt>
                <c:pt idx="155">
                  <c:v>23.321047857703491</c:v>
                </c:pt>
                <c:pt idx="156">
                  <c:v>23.432200869230961</c:v>
                </c:pt>
                <c:pt idx="157">
                  <c:v>23.542777083287142</c:v>
                </c:pt>
                <c:pt idx="158">
                  <c:v>23.652783514983341</c:v>
                </c:pt>
                <c:pt idx="159">
                  <c:v>23.762227050957115</c:v>
                </c:pt>
                <c:pt idx="160">
                  <c:v>23.87111445251346</c:v>
                </c:pt>
                <c:pt idx="161">
                  <c:v>23.979452358670017</c:v>
                </c:pt>
                <c:pt idx="162">
                  <c:v>24.087247289109982</c:v>
                </c:pt>
                <c:pt idx="163">
                  <c:v>24.194505647045908</c:v>
                </c:pt>
                <c:pt idx="164">
                  <c:v>24.301233721997804</c:v>
                </c:pt>
                <c:pt idx="165">
                  <c:v>24.407437692488358</c:v>
                </c:pt>
                <c:pt idx="166">
                  <c:v>24.513123628658583</c:v>
                </c:pt>
                <c:pt idx="167">
                  <c:v>24.618297494806264</c:v>
                </c:pt>
                <c:pt idx="168">
                  <c:v>24.722965151850403</c:v>
                </c:pt>
                <c:pt idx="169">
                  <c:v>24.827132359723777</c:v>
                </c:pt>
                <c:pt idx="170">
                  <c:v>24.930804779696537</c:v>
                </c:pt>
                <c:pt idx="171">
                  <c:v>25.033987976632943</c:v>
                </c:pt>
                <c:pt idx="172">
                  <c:v>25.136687421183623</c:v>
                </c:pt>
                <c:pt idx="173">
                  <c:v>25.238908491915687</c:v>
                </c:pt>
                <c:pt idx="174">
                  <c:v>25.340656477382545</c:v>
                </c:pt>
                <c:pt idx="175">
                  <c:v>25.441936578135724</c:v>
                </c:pt>
                <c:pt idx="176">
                  <c:v>25.54275390868046</c:v>
                </c:pt>
                <c:pt idx="177">
                  <c:v>25.643113499377058</c:v>
                </c:pt>
                <c:pt idx="178">
                  <c:v>25.743020298289778</c:v>
                </c:pt>
                <c:pt idx="179">
                  <c:v>25.842479172984866</c:v>
                </c:pt>
                <c:pt idx="180">
                  <c:v>25.941494912279744</c:v>
                </c:pt>
                <c:pt idx="181">
                  <c:v>26.040072227944435</c:v>
                </c:pt>
                <c:pt idx="182">
                  <c:v>26.138215756357297</c:v>
                </c:pt>
                <c:pt idx="183">
                  <c:v>26.23593006011621</c:v>
                </c:pt>
                <c:pt idx="184">
                  <c:v>26.333219629606766</c:v>
                </c:pt>
                <c:pt idx="185">
                  <c:v>26.430088884528757</c:v>
                </c:pt>
                <c:pt idx="186">
                  <c:v>26.526542175382517</c:v>
                </c:pt>
                <c:pt idx="187">
                  <c:v>26.622583784915982</c:v>
                </c:pt>
                <c:pt idx="188">
                  <c:v>26.718217929534148</c:v>
                </c:pt>
                <c:pt idx="189">
                  <c:v>26.813448760671832</c:v>
                </c:pt>
                <c:pt idx="190">
                  <c:v>26.908280366130846</c:v>
                </c:pt>
                <c:pt idx="191">
                  <c:v>27.002716771382943</c:v>
                </c:pt>
                <c:pt idx="192">
                  <c:v>27.096761940839308</c:v>
                </c:pt>
                <c:pt idx="193">
                  <c:v>27.19041977908784</c:v>
                </c:pt>
                <c:pt idx="194">
                  <c:v>27.283694132098951</c:v>
                </c:pt>
                <c:pt idx="195">
                  <c:v>27.376588788401222</c:v>
                </c:pt>
                <c:pt idx="196">
                  <c:v>27.469107480227365</c:v>
                </c:pt>
                <c:pt idx="197">
                  <c:v>27.561253884631782</c:v>
                </c:pt>
                <c:pt idx="198">
                  <c:v>27.653031624580322</c:v>
                </c:pt>
                <c:pt idx="199">
                  <c:v>27.744444270013162</c:v>
                </c:pt>
                <c:pt idx="200">
                  <c:v>27.835495338881536</c:v>
                </c:pt>
                <c:pt idx="201">
                  <c:v>27.926188298159268</c:v>
                </c:pt>
                <c:pt idx="202">
                  <c:v>28.016526564829569</c:v>
                </c:pt>
                <c:pt idx="203">
                  <c:v>28.106513506848032</c:v>
                </c:pt>
                <c:pt idx="204">
                  <c:v>28.196152444082365</c:v>
                </c:pt>
                <c:pt idx="205">
                  <c:v>28.285446649229769</c:v>
                </c:pt>
                <c:pt idx="206">
                  <c:v>28.374399348712274</c:v>
                </c:pt>
                <c:pt idx="207">
                  <c:v>28.463013723550901</c:v>
                </c:pt>
                <c:pt idx="208">
                  <c:v>28.55129291021931</c:v>
                </c:pt>
                <c:pt idx="209">
                  <c:v>28.639240001477013</c:v>
                </c:pt>
                <c:pt idx="210">
                  <c:v>28.726858047183676</c:v>
                </c:pt>
                <c:pt idx="211">
                  <c:v>28.814150055093869</c:v>
                </c:pt>
                <c:pt idx="212">
                  <c:v>28.901118991633858</c:v>
                </c:pt>
                <c:pt idx="213">
                  <c:v>28.987767782660228</c:v>
                </c:pt>
                <c:pt idx="214">
                  <c:v>29.074099314201248</c:v>
                </c:pt>
                <c:pt idx="215">
                  <c:v>29.160116433181194</c:v>
                </c:pt>
                <c:pt idx="216">
                  <c:v>29.245821948128238</c:v>
                </c:pt>
                <c:pt idx="217">
                  <c:v>29.331218629866378</c:v>
                </c:pt>
                <c:pt idx="218">
                  <c:v>29.41630921219167</c:v>
                </c:pt>
                <c:pt idx="219">
                  <c:v>29.501096392533448</c:v>
                </c:pt>
                <c:pt idx="220">
                  <c:v>29.585582832600593</c:v>
                </c:pt>
                <c:pt idx="221">
                  <c:v>29.669771159013614</c:v>
                </c:pt>
                <c:pt idx="222">
                  <c:v>29.753663963922662</c:v>
                </c:pt>
                <c:pt idx="223">
                  <c:v>29.837263805611926</c:v>
                </c:pt>
                <c:pt idx="224">
                  <c:v>29.920573209090847</c:v>
                </c:pt>
                <c:pt idx="225">
                  <c:v>30.003594666672363</c:v>
                </c:pt>
                <c:pt idx="226">
                  <c:v>30.08633063853862</c:v>
                </c:pt>
                <c:pt idx="227">
                  <c:v>30.168783553294453</c:v>
                </c:pt>
                <c:pt idx="228">
                  <c:v>30.250955808508856</c:v>
                </c:pt>
                <c:pt idx="229">
                  <c:v>30.332849771245058</c:v>
                </c:pt>
                <c:pt idx="230">
                  <c:v>30.41446777857908</c:v>
                </c:pt>
                <c:pt idx="231">
                  <c:v>30.495812138107254</c:v>
                </c:pt>
                <c:pt idx="232">
                  <c:v>30.576885128443202</c:v>
                </c:pt>
                <c:pt idx="233">
                  <c:v>30.657688999704163</c:v>
                </c:pt>
                <c:pt idx="234">
                  <c:v>30.738225973987156</c:v>
                </c:pt>
                <c:pt idx="235">
                  <c:v>30.818498245835265</c:v>
                </c:pt>
                <c:pt idx="236">
                  <c:v>30.89850798269412</c:v>
                </c:pt>
                <c:pt idx="237">
                  <c:v>30.978257325358967</c:v>
                </c:pt>
                <c:pt idx="238">
                  <c:v>31.05774838841257</c:v>
                </c:pt>
                <c:pt idx="239">
                  <c:v>31.13698326065397</c:v>
                </c:pt>
                <c:pt idx="240">
                  <c:v>31.215964005518686</c:v>
                </c:pt>
                <c:pt idx="241">
                  <c:v>31.294692661490117</c:v>
                </c:pt>
                <c:pt idx="242">
                  <c:v>31.373171242502799</c:v>
                </c:pt>
                <c:pt idx="243">
                  <c:v>31.451401738337374</c:v>
                </c:pt>
                <c:pt idx="244">
                  <c:v>31.529386115007668</c:v>
                </c:pt>
                <c:pt idx="245">
                  <c:v>31.6071263151401</c:v>
                </c:pt>
                <c:pt idx="246">
                  <c:v>31.684624258345302</c:v>
                </c:pt>
                <c:pt idx="247">
                  <c:v>31.76188184158255</c:v>
                </c:pt>
                <c:pt idx="248">
                  <c:v>31.83890093951689</c:v>
                </c:pt>
                <c:pt idx="249">
                  <c:v>31.915683404869249</c:v>
                </c:pt>
                <c:pt idx="250">
                  <c:v>31.992231068759665</c:v>
                </c:pt>
              </c:numCache>
            </c:numRef>
          </c:yVal>
          <c:smooth val="1"/>
        </c:ser>
        <c:ser>
          <c:idx val="24"/>
          <c:order val="24"/>
          <c:spPr>
            <a:ln w="12700">
              <a:solidFill>
                <a:srgbClr val="FF0000"/>
              </a:solidFill>
            </a:ln>
          </c:spPr>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hx!$AE$5:$AE$255</c:f>
              <c:numCache>
                <c:formatCode>0.00</c:formatCode>
                <c:ptCount val="251"/>
                <c:pt idx="1">
                  <c:v>-38.061687615243237</c:v>
                </c:pt>
                <c:pt idx="2">
                  <c:v>-31.629589986320287</c:v>
                </c:pt>
                <c:pt idx="3">
                  <c:v>-27.703505729904059</c:v>
                </c:pt>
                <c:pt idx="4">
                  <c:v>-24.84073113572769</c:v>
                </c:pt>
                <c:pt idx="5">
                  <c:v>-22.574462386138702</c:v>
                </c:pt>
                <c:pt idx="6">
                  <c:v>-20.692287677386755</c:v>
                </c:pt>
                <c:pt idx="7">
                  <c:v>-19.079029096548435</c:v>
                </c:pt>
                <c:pt idx="8">
                  <c:v>-17.665008757379013</c:v>
                </c:pt>
                <c:pt idx="9">
                  <c:v>-16.404769094340999</c:v>
                </c:pt>
                <c:pt idx="10">
                  <c:v>-15.266963285696967</c:v>
                </c:pt>
                <c:pt idx="11">
                  <c:v>-14.22903590623849</c:v>
                </c:pt>
                <c:pt idx="12">
                  <c:v>-13.274201041927883</c:v>
                </c:pt>
                <c:pt idx="13">
                  <c:v>-12.389619653739606</c:v>
                </c:pt>
                <c:pt idx="14">
                  <c:v>-11.565246028000814</c:v>
                </c:pt>
                <c:pt idx="15">
                  <c:v>-10.793068179782374</c:v>
                </c:pt>
                <c:pt idx="16">
                  <c:v>-10.066590777764905</c:v>
                </c:pt>
                <c:pt idx="17">
                  <c:v>-9.3804730714887867</c:v>
                </c:pt>
                <c:pt idx="18">
                  <c:v>-8.7302691084432702</c:v>
                </c:pt>
                <c:pt idx="19">
                  <c:v>-8.1122373493312665</c:v>
                </c:pt>
                <c:pt idx="20">
                  <c:v>-7.5231985185189227</c:v>
                </c:pt>
                <c:pt idx="21">
                  <c:v>-6.9604277023667631</c:v>
                </c:pt>
                <c:pt idx="22">
                  <c:v>-6.4215712287753206</c:v>
                </c:pt>
                <c:pt idx="23">
                  <c:v>-5.904581784075666</c:v>
                </c:pt>
                <c:pt idx="24">
                  <c:v>-5.4076671573495725</c:v>
                </c:pt>
                <c:pt idx="25">
                  <c:v>-4.9292493087704976</c:v>
                </c:pt>
                <c:pt idx="26">
                  <c:v>-4.4679313578984052</c:v>
                </c:pt>
                <c:pt idx="27">
                  <c:v>-4.0224707175511023</c:v>
                </c:pt>
                <c:pt idx="28">
                  <c:v>-3.5917570466605615</c:v>
                </c:pt>
                <c:pt idx="29">
                  <c:v>-3.1747940185167041</c:v>
                </c:pt>
                <c:pt idx="30">
                  <c:v>-2.7706841368316972</c:v>
                </c:pt>
                <c:pt idx="31">
                  <c:v>-2.3786160066471602</c:v>
                </c:pt>
                <c:pt idx="32">
                  <c:v>-1.9978535976811607</c:v>
                </c:pt>
                <c:pt idx="33">
                  <c:v>-1.6277271363947721</c:v>
                </c:pt>
                <c:pt idx="34">
                  <c:v>-1.2676253383561544</c:v>
                </c:pt>
                <c:pt idx="35">
                  <c:v>-0.91698875045103101</c:v>
                </c:pt>
                <c:pt idx="36">
                  <c:v>-0.57530401750434734</c:v>
                </c:pt>
                <c:pt idx="37">
                  <c:v>-0.24209892310144276</c:v>
                </c:pt>
                <c:pt idx="38">
                  <c:v>9.4680173603496343E-2</c:v>
                </c:pt>
                <c:pt idx="39">
                  <c:v>0.45444822023921816</c:v>
                </c:pt>
                <c:pt idx="40">
                  <c:v>0.80622141834534489</c:v>
                </c:pt>
                <c:pt idx="41">
                  <c:v>1.1503753395282672</c:v>
                </c:pt>
                <c:pt idx="42">
                  <c:v>1.487259286178249</c:v>
                </c:pt>
                <c:pt idx="43">
                  <c:v>1.8171987049341958</c:v>
                </c:pt>
                <c:pt idx="44">
                  <c:v>2.1404973279103885</c:v>
                </c:pt>
                <c:pt idx="45">
                  <c:v>2.4574390778340174</c:v>
                </c:pt>
                <c:pt idx="46">
                  <c:v>2.7682897677518508</c:v>
                </c:pt>
                <c:pt idx="47">
                  <c:v>3.0732986214080054</c:v>
                </c:pt>
                <c:pt idx="48">
                  <c:v>3.3726996365974689</c:v>
                </c:pt>
                <c:pt idx="49">
                  <c:v>3.6667128106225402</c:v>
                </c:pt>
                <c:pt idx="50">
                  <c:v>3.9555452443085297</c:v>
                </c:pt>
                <c:pt idx="51">
                  <c:v>4.239392138785183</c:v>
                </c:pt>
                <c:pt idx="52">
                  <c:v>4.5184376973323932</c:v>
                </c:pt>
                <c:pt idx="53">
                  <c:v>4.7928559429720767</c:v>
                </c:pt>
                <c:pt idx="54">
                  <c:v>5.0628114611076001</c:v>
                </c:pt>
                <c:pt idx="55">
                  <c:v>5.3284600753337443</c:v>
                </c:pt>
                <c:pt idx="56">
                  <c:v>5.589949463528832</c:v>
                </c:pt>
                <c:pt idx="57">
                  <c:v>5.8474197204713487</c:v>
                </c:pt>
                <c:pt idx="58">
                  <c:v>6.1010038724733118</c:v>
                </c:pt>
                <c:pt idx="59">
                  <c:v>6.3508283488744244</c:v>
                </c:pt>
                <c:pt idx="60">
                  <c:v>6.5970134146783401</c:v>
                </c:pt>
                <c:pt idx="61">
                  <c:v>6.8396735681240237</c:v>
                </c:pt>
                <c:pt idx="62">
                  <c:v>7.0789179065587966</c:v>
                </c:pt>
                <c:pt idx="63">
                  <c:v>7.3148504636081011</c:v>
                </c:pt>
                <c:pt idx="64">
                  <c:v>7.5475705203108028</c:v>
                </c:pt>
                <c:pt idx="65">
                  <c:v>7.777172892603371</c:v>
                </c:pt>
                <c:pt idx="66">
                  <c:v>8.0037481972851481</c:v>
                </c:pt>
                <c:pt idx="67">
                  <c:v>8.227383098374748</c:v>
                </c:pt>
                <c:pt idx="68">
                  <c:v>8.4481605355734928</c:v>
                </c:pt>
                <c:pt idx="69">
                  <c:v>8.6661599363773689</c:v>
                </c:pt>
                <c:pt idx="70">
                  <c:v>8.8814574132270998</c:v>
                </c:pt>
                <c:pt idx="71">
                  <c:v>9.0941259469486546</c:v>
                </c:pt>
                <c:pt idx="72">
                  <c:v>9.30423555761692</c:v>
                </c:pt>
                <c:pt idx="73">
                  <c:v>9.5118534638656982</c:v>
                </c:pt>
                <c:pt idx="74">
                  <c:v>9.7170442315731904</c:v>
                </c:pt>
                <c:pt idx="75">
                  <c:v>9.9198699127635699</c:v>
                </c:pt>
                <c:pt idx="76">
                  <c:v>10.120390175490563</c:v>
                </c:pt>
                <c:pt idx="77">
                  <c:v>10.318662425398585</c:v>
                </c:pt>
                <c:pt idx="78">
                  <c:v>10.514741919595036</c:v>
                </c:pt>
                <c:pt idx="79">
                  <c:v>10.708681873412619</c:v>
                </c:pt>
                <c:pt idx="80">
                  <c:v>10.900533560588862</c:v>
                </c:pt>
                <c:pt idx="81">
                  <c:v>11.090346407346011</c:v>
                </c:pt>
                <c:pt idx="82">
                  <c:v>11.278168080812897</c:v>
                </c:pt>
                <c:pt idx="83">
                  <c:v>11.464044572193426</c:v>
                </c:pt>
                <c:pt idx="84">
                  <c:v>11.648020275053412</c:v>
                </c:pt>
                <c:pt idx="85">
                  <c:v>11.830138059066467</c:v>
                </c:pt>
                <c:pt idx="86">
                  <c:v>12.010439339532255</c:v>
                </c:pt>
                <c:pt idx="87">
                  <c:v>12.188964142956198</c:v>
                </c:pt>
                <c:pt idx="88">
                  <c:v>12.365751168955558</c:v>
                </c:pt>
                <c:pt idx="89">
                  <c:v>12.540837848737432</c:v>
                </c:pt>
                <c:pt idx="90">
                  <c:v>12.714260400374346</c:v>
                </c:pt>
                <c:pt idx="91">
                  <c:v>12.886053881086688</c:v>
                </c:pt>
                <c:pt idx="92">
                  <c:v>13.056252236724628</c:v>
                </c:pt>
                <c:pt idx="93">
                  <c:v>13.224888348628504</c:v>
                </c:pt>
                <c:pt idx="94">
                  <c:v>13.391994078032859</c:v>
                </c:pt>
                <c:pt idx="95">
                  <c:v>13.557600308168009</c:v>
                </c:pt>
                <c:pt idx="96">
                  <c:v>13.721736984200877</c:v>
                </c:pt>
                <c:pt idx="97">
                  <c:v>13.884433151147508</c:v>
                </c:pt>
                <c:pt idx="98">
                  <c:v>14.045716989880262</c:v>
                </c:pt>
                <c:pt idx="99">
                  <c:v>14.205615851343026</c:v>
                </c:pt>
                <c:pt idx="100">
                  <c:v>14.364156289081937</c:v>
                </c:pt>
                <c:pt idx="101">
                  <c:v>14.521364090189397</c:v>
                </c:pt>
                <c:pt idx="102">
                  <c:v>14.677264304754399</c:v>
                </c:pt>
                <c:pt idx="103">
                  <c:v>14.831881273904663</c:v>
                </c:pt>
                <c:pt idx="104">
                  <c:v>14.985238656521201</c:v>
                </c:pt>
                <c:pt idx="105">
                  <c:v>15.137359454700093</c:v>
                </c:pt>
                <c:pt idx="106">
                  <c:v>15.288266038031669</c:v>
                </c:pt>
                <c:pt idx="107">
                  <c:v>15.437980166762564</c:v>
                </c:pt>
                <c:pt idx="108">
                  <c:v>15.586523013901676</c:v>
                </c:pt>
                <c:pt idx="109">
                  <c:v>15.733915186328307</c:v>
                </c:pt>
                <c:pt idx="110">
                  <c:v>15.880176744955257</c:v>
                </c:pt>
                <c:pt idx="111">
                  <c:v>16.025327223997863</c:v>
                </c:pt>
                <c:pt idx="112">
                  <c:v>16.169385649396517</c:v>
                </c:pt>
                <c:pt idx="113">
                  <c:v>16.312370556436125</c:v>
                </c:pt>
                <c:pt idx="114">
                  <c:v>16.454300006605624</c:v>
                </c:pt>
                <c:pt idx="115">
                  <c:v>16.595191603735707</c:v>
                </c:pt>
                <c:pt idx="116">
                  <c:v>16.735062509451421</c:v>
                </c:pt>
                <c:pt idx="117">
                  <c:v>16.873929457975933</c:v>
                </c:pt>
                <c:pt idx="118">
                  <c:v>17.01180877031565</c:v>
                </c:pt>
                <c:pt idx="119">
                  <c:v>17.148716367860029</c:v>
                </c:pt>
                <c:pt idx="120">
                  <c:v>17.284667785422776</c:v>
                </c:pt>
                <c:pt idx="121">
                  <c:v>17.41967818375311</c:v>
                </c:pt>
                <c:pt idx="122">
                  <c:v>17.553762361542695</c:v>
                </c:pt>
                <c:pt idx="123">
                  <c:v>17.686934766952323</c:v>
                </c:pt>
                <c:pt idx="124">
                  <c:v>17.819209508680267</c:v>
                </c:pt>
                <c:pt idx="125">
                  <c:v>17.950600366596639</c:v>
                </c:pt>
                <c:pt idx="126">
                  <c:v>18.081120801961344</c:v>
                </c:pt>
                <c:pt idx="127">
                  <c:v>18.210783967246684</c:v>
                </c:pt>
                <c:pt idx="128">
                  <c:v>18.339602715582707</c:v>
                </c:pt>
                <c:pt idx="129">
                  <c:v>18.467589609841582</c:v>
                </c:pt>
                <c:pt idx="130">
                  <c:v>18.594756931379585</c:v>
                </c:pt>
                <c:pt idx="131">
                  <c:v>18.721116688449243</c:v>
                </c:pt>
                <c:pt idx="132">
                  <c:v>18.846680624299715</c:v>
                </c:pt>
                <c:pt idx="133">
                  <c:v>18.971460224976205</c:v>
                </c:pt>
                <c:pt idx="134">
                  <c:v>19.095466726834069</c:v>
                </c:pt>
                <c:pt idx="135">
                  <c:v>19.218711123778675</c:v>
                </c:pt>
                <c:pt idx="136">
                  <c:v>19.341204174243728</c:v>
                </c:pt>
                <c:pt idx="137">
                  <c:v>19.462956407918909</c:v>
                </c:pt>
                <c:pt idx="138">
                  <c:v>19.583978132238116</c:v>
                </c:pt>
                <c:pt idx="139">
                  <c:v>19.704279438637691</c:v>
                </c:pt>
                <c:pt idx="140">
                  <c:v>19.823870208595274</c:v>
                </c:pt>
                <c:pt idx="141">
                  <c:v>19.942760119457937</c:v>
                </c:pt>
                <c:pt idx="142">
                  <c:v>20.060958650068187</c:v>
                </c:pt>
                <c:pt idx="143">
                  <c:v>20.178475086197203</c:v>
                </c:pt>
                <c:pt idx="144">
                  <c:v>20.295318525791856</c:v>
                </c:pt>
                <c:pt idx="145">
                  <c:v>20.411497884044238</c:v>
                </c:pt>
                <c:pt idx="146">
                  <c:v>20.527021898290528</c:v>
                </c:pt>
                <c:pt idx="147">
                  <c:v>20.641899132745543</c:v>
                </c:pt>
                <c:pt idx="148">
                  <c:v>20.756137983080599</c:v>
                </c:pt>
                <c:pt idx="149">
                  <c:v>20.869746680849943</c:v>
                </c:pt>
                <c:pt idx="150">
                  <c:v>20.982733297772462</c:v>
                </c:pt>
                <c:pt idx="151">
                  <c:v>21.095105749873269</c:v>
                </c:pt>
                <c:pt idx="152">
                  <c:v>21.206871801492568</c:v>
                </c:pt>
                <c:pt idx="153">
                  <c:v>21.318039069164477</c:v>
                </c:pt>
                <c:pt idx="154">
                  <c:v>21.428615025372693</c:v>
                </c:pt>
                <c:pt idx="155">
                  <c:v>21.538607002187113</c:v>
                </c:pt>
                <c:pt idx="156">
                  <c:v>21.64802219478559</c:v>
                </c:pt>
                <c:pt idx="157">
                  <c:v>21.756867664865503</c:v>
                </c:pt>
                <c:pt idx="158">
                  <c:v>21.865150343949374</c:v>
                </c:pt>
                <c:pt idx="159">
                  <c:v>21.972877036587967</c:v>
                </c:pt>
                <c:pt idx="160">
                  <c:v>22.080054423465469</c:v>
                </c:pt>
                <c:pt idx="161">
                  <c:v>22.186689064409293</c:v>
                </c:pt>
                <c:pt idx="162">
                  <c:v>22.292787401309141</c:v>
                </c:pt>
                <c:pt idx="163">
                  <c:v>22.398355760947652</c:v>
                </c:pt>
                <c:pt idx="164">
                  <c:v>22.503400357746486</c:v>
                </c:pt>
                <c:pt idx="165">
                  <c:v>22.607927296430333</c:v>
                </c:pt>
                <c:pt idx="166">
                  <c:v>22.711942574612387</c:v>
                </c:pt>
                <c:pt idx="167">
                  <c:v>22.81545208530337</c:v>
                </c:pt>
                <c:pt idx="168">
                  <c:v>22.918461619347767</c:v>
                </c:pt>
                <c:pt idx="169">
                  <c:v>23.020976867788335</c:v>
                </c:pt>
                <c:pt idx="170">
                  <c:v>23.123003424163066</c:v>
                </c:pt>
                <c:pt idx="171">
                  <c:v>23.224546786735559</c:v>
                </c:pt>
                <c:pt idx="172">
                  <c:v>23.325612360662319</c:v>
                </c:pt>
                <c:pt idx="173">
                  <c:v>23.426205460097869</c:v>
                </c:pt>
                <c:pt idx="174">
                  <c:v>23.526331310240614</c:v>
                </c:pt>
                <c:pt idx="175">
                  <c:v>23.62599504932146</c:v>
                </c:pt>
                <c:pt idx="176">
                  <c:v>23.725201730536618</c:v>
                </c:pt>
                <c:pt idx="177">
                  <c:v>23.823956323927199</c:v>
                </c:pt>
                <c:pt idx="178">
                  <c:v>23.922263718206253</c:v>
                </c:pt>
                <c:pt idx="179">
                  <c:v>24.020128722536143</c:v>
                </c:pt>
                <c:pt idx="180">
                  <c:v>24.117556068257493</c:v>
                </c:pt>
                <c:pt idx="181">
                  <c:v>24.214550410570709</c:v>
                </c:pt>
                <c:pt idx="182">
                  <c:v>24.311116330172894</c:v>
                </c:pt>
                <c:pt idx="183">
                  <c:v>24.40725833484948</c:v>
                </c:pt>
                <c:pt idx="184">
                  <c:v>24.502980861025016</c:v>
                </c:pt>
                <c:pt idx="185">
                  <c:v>24.598288275271642</c:v>
                </c:pt>
                <c:pt idx="186">
                  <c:v>24.693184875778144</c:v>
                </c:pt>
                <c:pt idx="187">
                  <c:v>24.787674893779901</c:v>
                </c:pt>
                <c:pt idx="188">
                  <c:v>24.881762494952383</c:v>
                </c:pt>
                <c:pt idx="189">
                  <c:v>24.975451780767969</c:v>
                </c:pt>
                <c:pt idx="190">
                  <c:v>25.068746789816963</c:v>
                </c:pt>
                <c:pt idx="191">
                  <c:v>25.161651499095974</c:v>
                </c:pt>
                <c:pt idx="192">
                  <c:v>25.254169825262416</c:v>
                </c:pt>
                <c:pt idx="193">
                  <c:v>25.346305625857276</c:v>
                </c:pt>
                <c:pt idx="194">
                  <c:v>25.438062700497007</c:v>
                </c:pt>
                <c:pt idx="195">
                  <c:v>25.529444792035491</c:v>
                </c:pt>
                <c:pt idx="196">
                  <c:v>25.620455587696569</c:v>
                </c:pt>
                <c:pt idx="197">
                  <c:v>25.711098720178299</c:v>
                </c:pt>
                <c:pt idx="198">
                  <c:v>25.801377768730546</c:v>
                </c:pt>
                <c:pt idx="199">
                  <c:v>25.891296260205294</c:v>
                </c:pt>
                <c:pt idx="200">
                  <c:v>25.980857670080802</c:v>
                </c:pt>
                <c:pt idx="201">
                  <c:v>26.070065423461962</c:v>
                </c:pt>
                <c:pt idx="202">
                  <c:v>26.158922896055209</c:v>
                </c:pt>
                <c:pt idx="203">
                  <c:v>26.247433415120383</c:v>
                </c:pt>
                <c:pt idx="204">
                  <c:v>26.335600260399424</c:v>
                </c:pt>
                <c:pt idx="205">
                  <c:v>26.423426665023143</c:v>
                </c:pt>
                <c:pt idx="206">
                  <c:v>26.510915816395851</c:v>
                </c:pt>
                <c:pt idx="207">
                  <c:v>26.598070857059625</c:v>
                </c:pt>
                <c:pt idx="208">
                  <c:v>26.68489488553768</c:v>
                </c:pt>
                <c:pt idx="209">
                  <c:v>26.771390957158069</c:v>
                </c:pt>
                <c:pt idx="210">
                  <c:v>26.857562084858138</c:v>
                </c:pt>
                <c:pt idx="211">
                  <c:v>26.943411239970366</c:v>
                </c:pt>
                <c:pt idx="212">
                  <c:v>27.02894135298974</c:v>
                </c:pt>
                <c:pt idx="213">
                  <c:v>27.114155314323725</c:v>
                </c:pt>
                <c:pt idx="214">
                  <c:v>27.199055975024862</c:v>
                </c:pt>
                <c:pt idx="215">
                  <c:v>27.283646147506353</c:v>
                </c:pt>
                <c:pt idx="216">
                  <c:v>27.36792860624216</c:v>
                </c:pt>
                <c:pt idx="217">
                  <c:v>27.451906088450265</c:v>
                </c:pt>
                <c:pt idx="218">
                  <c:v>27.53558129476135</c:v>
                </c:pt>
                <c:pt idx="219">
                  <c:v>27.618956889872429</c:v>
                </c:pt>
                <c:pt idx="220">
                  <c:v>27.702035503184945</c:v>
                </c:pt>
                <c:pt idx="221">
                  <c:v>27.784819729429621</c:v>
                </c:pt>
                <c:pt idx="222">
                  <c:v>27.867312129277678</c:v>
                </c:pt>
                <c:pt idx="223">
                  <c:v>27.949515229937788</c:v>
                </c:pt>
                <c:pt idx="224">
                  <c:v>28.031431525740089</c:v>
                </c:pt>
                <c:pt idx="225">
                  <c:v>28.113063478708007</c:v>
                </c:pt>
                <c:pt idx="226">
                  <c:v>28.19441351911744</c:v>
                </c:pt>
                <c:pt idx="227">
                  <c:v>28.275484046043239</c:v>
                </c:pt>
                <c:pt idx="228">
                  <c:v>28.356277427894675</c:v>
                </c:pt>
                <c:pt idx="229">
                  <c:v>28.436796002939197</c:v>
                </c:pt>
                <c:pt idx="230">
                  <c:v>28.517042079814857</c:v>
                </c:pt>
                <c:pt idx="231">
                  <c:v>28.597017938031883</c:v>
                </c:pt>
                <c:pt idx="232">
                  <c:v>28.67672582846405</c:v>
                </c:pt>
                <c:pt idx="233">
                  <c:v>28.756167973828525</c:v>
                </c:pt>
                <c:pt idx="234">
                  <c:v>28.835346569157451</c:v>
                </c:pt>
                <c:pt idx="235">
                  <c:v>28.914263782257798</c:v>
                </c:pt>
                <c:pt idx="236">
                  <c:v>28.992921754163383</c:v>
                </c:pt>
                <c:pt idx="237">
                  <c:v>29.071322599575865</c:v>
                </c:pt>
                <c:pt idx="238">
                  <c:v>29.149468407297597</c:v>
                </c:pt>
                <c:pt idx="239">
                  <c:v>29.227361240656144</c:v>
                </c:pt>
                <c:pt idx="240">
                  <c:v>29.305003137918646</c:v>
                </c:pt>
                <c:pt idx="241">
                  <c:v>29.382396112698288</c:v>
                </c:pt>
                <c:pt idx="242">
                  <c:v>29.459542154353677</c:v>
                </c:pt>
                <c:pt idx="243">
                  <c:v>29.53644322837831</c:v>
                </c:pt>
                <c:pt idx="244">
                  <c:v>29.613101276783965</c:v>
                </c:pt>
                <c:pt idx="245">
                  <c:v>29.689518218474156</c:v>
                </c:pt>
                <c:pt idx="246">
                  <c:v>29.765695949613026</c:v>
                </c:pt>
                <c:pt idx="247">
                  <c:v>29.841636343984575</c:v>
                </c:pt>
                <c:pt idx="248">
                  <c:v>29.917341253345569</c:v>
                </c:pt>
                <c:pt idx="249">
                  <c:v>29.992812507771781</c:v>
                </c:pt>
                <c:pt idx="250">
                  <c:v>30.068051915997032</c:v>
                </c:pt>
              </c:numCache>
            </c:numRef>
          </c:yVal>
          <c:smooth val="1"/>
        </c:ser>
        <c:ser>
          <c:idx val="25"/>
          <c:order val="25"/>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hx!$AF$5:$AF$255</c:f>
              <c:numCache>
                <c:formatCode>General</c:formatCode>
                <c:ptCount val="251"/>
              </c:numCache>
            </c:numRef>
          </c:yVal>
          <c:smooth val="1"/>
        </c:ser>
        <c:ser>
          <c:idx val="26"/>
          <c:order val="26"/>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hx!$AG$5:$AG$255</c:f>
              <c:numCache>
                <c:formatCode>General</c:formatCode>
                <c:ptCount val="251"/>
              </c:numCache>
            </c:numRef>
          </c:yVal>
          <c:smooth val="1"/>
        </c:ser>
        <c:ser>
          <c:idx val="27"/>
          <c:order val="27"/>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hx!$AH$5:$AH$255</c:f>
              <c:numCache>
                <c:formatCode>General</c:formatCode>
                <c:ptCount val="251"/>
              </c:numCache>
            </c:numRef>
          </c:yVal>
          <c:smooth val="1"/>
        </c:ser>
        <c:ser>
          <c:idx val="28"/>
          <c:order val="28"/>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hx!$AI$5:$AI$255</c:f>
              <c:numCache>
                <c:formatCode>General</c:formatCode>
                <c:ptCount val="251"/>
              </c:numCache>
            </c:numRef>
          </c:yVal>
          <c:smooth val="1"/>
        </c:ser>
        <c:ser>
          <c:idx val="29"/>
          <c:order val="29"/>
          <c:marker>
            <c:symbol val="none"/>
          </c:marker>
          <c:xVal>
            <c:numRef>
              <c:f>hx!$E$5:$E$255</c:f>
              <c:numCache>
                <c:formatCode>0.0000</c:formatCode>
                <c:ptCount val="251"/>
                <c:pt idx="0">
                  <c:v>0</c:v>
                </c:pt>
                <c:pt idx="1">
                  <c:v>1E-4</c:v>
                </c:pt>
                <c:pt idx="2">
                  <c:v>2.0000000000000001E-4</c:v>
                </c:pt>
                <c:pt idx="3">
                  <c:v>2.9999999999999997E-4</c:v>
                </c:pt>
                <c:pt idx="4">
                  <c:v>4.0000000000000002E-4</c:v>
                </c:pt>
                <c:pt idx="5">
                  <c:v>5.0000000000000001E-4</c:v>
                </c:pt>
                <c:pt idx="6">
                  <c:v>5.9999999999999995E-4</c:v>
                </c:pt>
                <c:pt idx="7">
                  <c:v>6.9999999999999999E-4</c:v>
                </c:pt>
                <c:pt idx="8">
                  <c:v>8.0000000000000004E-4</c:v>
                </c:pt>
                <c:pt idx="9">
                  <c:v>8.9999999999999998E-4</c:v>
                </c:pt>
                <c:pt idx="10">
                  <c:v>1E-3</c:v>
                </c:pt>
                <c:pt idx="11">
                  <c:v>1.1000000000000001E-3</c:v>
                </c:pt>
                <c:pt idx="12">
                  <c:v>1.1999999999999999E-3</c:v>
                </c:pt>
                <c:pt idx="13">
                  <c:v>1.2999999999999999E-3</c:v>
                </c:pt>
                <c:pt idx="14">
                  <c:v>1.4E-3</c:v>
                </c:pt>
                <c:pt idx="15">
                  <c:v>1.5E-3</c:v>
                </c:pt>
                <c:pt idx="16">
                  <c:v>1.6000000000000001E-3</c:v>
                </c:pt>
                <c:pt idx="17">
                  <c:v>1.6999999999999999E-3</c:v>
                </c:pt>
                <c:pt idx="18">
                  <c:v>1.8E-3</c:v>
                </c:pt>
                <c:pt idx="19">
                  <c:v>1.9E-3</c:v>
                </c:pt>
                <c:pt idx="20">
                  <c:v>2E-3</c:v>
                </c:pt>
                <c:pt idx="21">
                  <c:v>2.0999999999999999E-3</c:v>
                </c:pt>
                <c:pt idx="22">
                  <c:v>2.2000000000000001E-3</c:v>
                </c:pt>
                <c:pt idx="23">
                  <c:v>2.3E-3</c:v>
                </c:pt>
                <c:pt idx="24">
                  <c:v>2.3999999999999998E-3</c:v>
                </c:pt>
                <c:pt idx="25">
                  <c:v>2.5000000000000001E-3</c:v>
                </c:pt>
                <c:pt idx="26">
                  <c:v>2.5999999999999999E-3</c:v>
                </c:pt>
                <c:pt idx="27">
                  <c:v>2.7000000000000001E-3</c:v>
                </c:pt>
                <c:pt idx="28">
                  <c:v>2.8E-3</c:v>
                </c:pt>
                <c:pt idx="29">
                  <c:v>2.8999999999999998E-3</c:v>
                </c:pt>
                <c:pt idx="30">
                  <c:v>3.0000000000000001E-3</c:v>
                </c:pt>
                <c:pt idx="31">
                  <c:v>3.0999999999999999E-3</c:v>
                </c:pt>
                <c:pt idx="32">
                  <c:v>3.2000000000000002E-3</c:v>
                </c:pt>
                <c:pt idx="33">
                  <c:v>3.3E-3</c:v>
                </c:pt>
                <c:pt idx="34">
                  <c:v>3.3999999999999998E-3</c:v>
                </c:pt>
                <c:pt idx="35">
                  <c:v>3.5000000000000001E-3</c:v>
                </c:pt>
                <c:pt idx="36">
                  <c:v>3.5999999999999999E-3</c:v>
                </c:pt>
                <c:pt idx="37">
                  <c:v>3.7000000000000002E-3</c:v>
                </c:pt>
                <c:pt idx="38">
                  <c:v>3.8E-3</c:v>
                </c:pt>
                <c:pt idx="39">
                  <c:v>3.8999999999999998E-3</c:v>
                </c:pt>
                <c:pt idx="40">
                  <c:v>4.0000000000000001E-3</c:v>
                </c:pt>
                <c:pt idx="41">
                  <c:v>4.1000000000000003E-3</c:v>
                </c:pt>
                <c:pt idx="42">
                  <c:v>4.1999999999999997E-3</c:v>
                </c:pt>
                <c:pt idx="43">
                  <c:v>4.3E-3</c:v>
                </c:pt>
                <c:pt idx="44">
                  <c:v>4.4000000000000003E-3</c:v>
                </c:pt>
                <c:pt idx="45">
                  <c:v>4.4999999999999997E-3</c:v>
                </c:pt>
                <c:pt idx="46">
                  <c:v>4.5999999999999999E-3</c:v>
                </c:pt>
                <c:pt idx="47">
                  <c:v>4.7000000000000002E-3</c:v>
                </c:pt>
                <c:pt idx="48">
                  <c:v>4.7999999999999996E-3</c:v>
                </c:pt>
                <c:pt idx="49">
                  <c:v>4.8999999999999998E-3</c:v>
                </c:pt>
                <c:pt idx="50">
                  <c:v>5.0000000000000001E-3</c:v>
                </c:pt>
                <c:pt idx="51">
                  <c:v>5.1000000000000004E-3</c:v>
                </c:pt>
                <c:pt idx="52">
                  <c:v>5.1999999999999998E-3</c:v>
                </c:pt>
                <c:pt idx="53">
                  <c:v>5.3E-3</c:v>
                </c:pt>
                <c:pt idx="54">
                  <c:v>5.4000000000000003E-3</c:v>
                </c:pt>
                <c:pt idx="55">
                  <c:v>5.4999999999999997E-3</c:v>
                </c:pt>
                <c:pt idx="56">
                  <c:v>5.5999999999999999E-3</c:v>
                </c:pt>
                <c:pt idx="57">
                  <c:v>5.7000000000000002E-3</c:v>
                </c:pt>
                <c:pt idx="58">
                  <c:v>5.7999999999999996E-3</c:v>
                </c:pt>
                <c:pt idx="59">
                  <c:v>5.8999999999999999E-3</c:v>
                </c:pt>
                <c:pt idx="60">
                  <c:v>6.0000000000000001E-3</c:v>
                </c:pt>
                <c:pt idx="61">
                  <c:v>6.1000000000000004E-3</c:v>
                </c:pt>
                <c:pt idx="62">
                  <c:v>6.1999999999999998E-3</c:v>
                </c:pt>
                <c:pt idx="63">
                  <c:v>6.3E-3</c:v>
                </c:pt>
                <c:pt idx="64">
                  <c:v>6.4000000000000003E-3</c:v>
                </c:pt>
                <c:pt idx="65">
                  <c:v>6.4999999999999997E-3</c:v>
                </c:pt>
                <c:pt idx="66">
                  <c:v>6.6E-3</c:v>
                </c:pt>
                <c:pt idx="67">
                  <c:v>6.7000000000000002E-3</c:v>
                </c:pt>
                <c:pt idx="68">
                  <c:v>6.7999999999999996E-3</c:v>
                </c:pt>
                <c:pt idx="69">
                  <c:v>6.8999999999999999E-3</c:v>
                </c:pt>
                <c:pt idx="70">
                  <c:v>7.0000000000000001E-3</c:v>
                </c:pt>
                <c:pt idx="71">
                  <c:v>7.1000000000000004E-3</c:v>
                </c:pt>
                <c:pt idx="72">
                  <c:v>7.1999999999999998E-3</c:v>
                </c:pt>
                <c:pt idx="73">
                  <c:v>7.3000000000000001E-3</c:v>
                </c:pt>
                <c:pt idx="74">
                  <c:v>7.4000000000000003E-3</c:v>
                </c:pt>
                <c:pt idx="75">
                  <c:v>7.4999999999999997E-3</c:v>
                </c:pt>
                <c:pt idx="76">
                  <c:v>7.6E-3</c:v>
                </c:pt>
                <c:pt idx="77">
                  <c:v>7.7000000000000002E-3</c:v>
                </c:pt>
                <c:pt idx="78">
                  <c:v>7.7999999999999996E-3</c:v>
                </c:pt>
                <c:pt idx="79">
                  <c:v>7.9000000000000008E-3</c:v>
                </c:pt>
                <c:pt idx="80">
                  <c:v>8.0000000000000002E-3</c:v>
                </c:pt>
                <c:pt idx="81">
                  <c:v>8.0999999999999996E-3</c:v>
                </c:pt>
                <c:pt idx="82">
                  <c:v>8.2000000000000007E-3</c:v>
                </c:pt>
                <c:pt idx="83">
                  <c:v>8.3000000000000001E-3</c:v>
                </c:pt>
                <c:pt idx="84">
                  <c:v>8.3999999999999995E-3</c:v>
                </c:pt>
                <c:pt idx="85">
                  <c:v>8.5000000000000006E-3</c:v>
                </c:pt>
                <c:pt idx="86">
                  <c:v>8.6E-3</c:v>
                </c:pt>
                <c:pt idx="87">
                  <c:v>8.6999999999999994E-3</c:v>
                </c:pt>
                <c:pt idx="88">
                  <c:v>8.8000000000000005E-3</c:v>
                </c:pt>
                <c:pt idx="89">
                  <c:v>8.8999999999999999E-3</c:v>
                </c:pt>
                <c:pt idx="90">
                  <c:v>8.9999999999999993E-3</c:v>
                </c:pt>
                <c:pt idx="91">
                  <c:v>9.1000000000000004E-3</c:v>
                </c:pt>
                <c:pt idx="92">
                  <c:v>9.1999999999999998E-3</c:v>
                </c:pt>
                <c:pt idx="93">
                  <c:v>9.2999999999999992E-3</c:v>
                </c:pt>
                <c:pt idx="94">
                  <c:v>9.4000000000000004E-3</c:v>
                </c:pt>
                <c:pt idx="95">
                  <c:v>9.4999999999999998E-3</c:v>
                </c:pt>
                <c:pt idx="96">
                  <c:v>9.5999999999999992E-3</c:v>
                </c:pt>
                <c:pt idx="97">
                  <c:v>9.7000000000000003E-3</c:v>
                </c:pt>
                <c:pt idx="98">
                  <c:v>9.7999999999999997E-3</c:v>
                </c:pt>
                <c:pt idx="99">
                  <c:v>9.9000000000000008E-3</c:v>
                </c:pt>
                <c:pt idx="100">
                  <c:v>0.01</c:v>
                </c:pt>
                <c:pt idx="101">
                  <c:v>1.01E-2</c:v>
                </c:pt>
                <c:pt idx="102">
                  <c:v>1.0200000000000001E-2</c:v>
                </c:pt>
                <c:pt idx="103">
                  <c:v>1.03E-2</c:v>
                </c:pt>
                <c:pt idx="104">
                  <c:v>1.04E-2</c:v>
                </c:pt>
                <c:pt idx="105">
                  <c:v>1.0500000000000001E-2</c:v>
                </c:pt>
                <c:pt idx="106">
                  <c:v>1.06E-2</c:v>
                </c:pt>
                <c:pt idx="107">
                  <c:v>1.0699999999999999E-2</c:v>
                </c:pt>
                <c:pt idx="108">
                  <c:v>1.0800000000000001E-2</c:v>
                </c:pt>
                <c:pt idx="109">
                  <c:v>1.09E-2</c:v>
                </c:pt>
                <c:pt idx="110">
                  <c:v>1.0999999999999999E-2</c:v>
                </c:pt>
                <c:pt idx="111">
                  <c:v>1.11E-2</c:v>
                </c:pt>
                <c:pt idx="112">
                  <c:v>1.12E-2</c:v>
                </c:pt>
                <c:pt idx="113">
                  <c:v>1.1299999999999999E-2</c:v>
                </c:pt>
                <c:pt idx="114">
                  <c:v>1.14E-2</c:v>
                </c:pt>
                <c:pt idx="115">
                  <c:v>1.15E-2</c:v>
                </c:pt>
                <c:pt idx="116">
                  <c:v>1.1599999999999999E-2</c:v>
                </c:pt>
                <c:pt idx="117">
                  <c:v>1.17E-2</c:v>
                </c:pt>
                <c:pt idx="118">
                  <c:v>1.18E-2</c:v>
                </c:pt>
                <c:pt idx="119">
                  <c:v>1.1900000000000001E-2</c:v>
                </c:pt>
                <c:pt idx="120">
                  <c:v>1.2E-2</c:v>
                </c:pt>
                <c:pt idx="121">
                  <c:v>1.21E-2</c:v>
                </c:pt>
                <c:pt idx="122">
                  <c:v>1.2200000000000001E-2</c:v>
                </c:pt>
                <c:pt idx="123">
                  <c:v>1.23E-2</c:v>
                </c:pt>
                <c:pt idx="124">
                  <c:v>1.24E-2</c:v>
                </c:pt>
                <c:pt idx="125">
                  <c:v>1.2500000000000001E-2</c:v>
                </c:pt>
                <c:pt idx="126">
                  <c:v>1.26E-2</c:v>
                </c:pt>
                <c:pt idx="127">
                  <c:v>1.2699999999999999E-2</c:v>
                </c:pt>
                <c:pt idx="128">
                  <c:v>1.2800000000000001E-2</c:v>
                </c:pt>
                <c:pt idx="129">
                  <c:v>1.29E-2</c:v>
                </c:pt>
                <c:pt idx="130">
                  <c:v>1.2999999999999999E-2</c:v>
                </c:pt>
                <c:pt idx="131">
                  <c:v>1.3100000000000001E-2</c:v>
                </c:pt>
                <c:pt idx="132">
                  <c:v>1.32E-2</c:v>
                </c:pt>
                <c:pt idx="133">
                  <c:v>1.3299999999999999E-2</c:v>
                </c:pt>
                <c:pt idx="134">
                  <c:v>1.34E-2</c:v>
                </c:pt>
                <c:pt idx="135">
                  <c:v>1.35E-2</c:v>
                </c:pt>
                <c:pt idx="136">
                  <c:v>1.3599999999999999E-2</c:v>
                </c:pt>
                <c:pt idx="137">
                  <c:v>1.37E-2</c:v>
                </c:pt>
                <c:pt idx="138">
                  <c:v>1.38E-2</c:v>
                </c:pt>
                <c:pt idx="139">
                  <c:v>1.3899999999999999E-2</c:v>
                </c:pt>
                <c:pt idx="140">
                  <c:v>1.4E-2</c:v>
                </c:pt>
                <c:pt idx="141">
                  <c:v>1.41E-2</c:v>
                </c:pt>
                <c:pt idx="142">
                  <c:v>1.4200000000000001E-2</c:v>
                </c:pt>
                <c:pt idx="143">
                  <c:v>1.43E-2</c:v>
                </c:pt>
                <c:pt idx="144">
                  <c:v>1.44E-2</c:v>
                </c:pt>
                <c:pt idx="145">
                  <c:v>1.4500000000000001E-2</c:v>
                </c:pt>
                <c:pt idx="146">
                  <c:v>1.46E-2</c:v>
                </c:pt>
                <c:pt idx="147">
                  <c:v>1.47E-2</c:v>
                </c:pt>
                <c:pt idx="148">
                  <c:v>1.4800000000000001E-2</c:v>
                </c:pt>
                <c:pt idx="149">
                  <c:v>1.49E-2</c:v>
                </c:pt>
                <c:pt idx="150">
                  <c:v>1.4999999999999999E-2</c:v>
                </c:pt>
                <c:pt idx="151">
                  <c:v>1.5100000000000001E-2</c:v>
                </c:pt>
                <c:pt idx="152">
                  <c:v>1.52E-2</c:v>
                </c:pt>
                <c:pt idx="153">
                  <c:v>1.5299999999999999E-2</c:v>
                </c:pt>
                <c:pt idx="154">
                  <c:v>1.54E-2</c:v>
                </c:pt>
                <c:pt idx="155">
                  <c:v>1.55E-2</c:v>
                </c:pt>
                <c:pt idx="156">
                  <c:v>1.5599999999999999E-2</c:v>
                </c:pt>
                <c:pt idx="157">
                  <c:v>1.5699999999999999E-2</c:v>
                </c:pt>
                <c:pt idx="158">
                  <c:v>1.5800000000000002E-2</c:v>
                </c:pt>
                <c:pt idx="159">
                  <c:v>1.5900000000000001E-2</c:v>
                </c:pt>
                <c:pt idx="160">
                  <c:v>1.6E-2</c:v>
                </c:pt>
                <c:pt idx="161">
                  <c:v>1.61E-2</c:v>
                </c:pt>
                <c:pt idx="162">
                  <c:v>1.6199999999999999E-2</c:v>
                </c:pt>
                <c:pt idx="163">
                  <c:v>1.6299999999999999E-2</c:v>
                </c:pt>
                <c:pt idx="164">
                  <c:v>1.6400000000000001E-2</c:v>
                </c:pt>
                <c:pt idx="165">
                  <c:v>1.6500000000000001E-2</c:v>
                </c:pt>
                <c:pt idx="166">
                  <c:v>1.66E-2</c:v>
                </c:pt>
                <c:pt idx="167">
                  <c:v>1.67E-2</c:v>
                </c:pt>
                <c:pt idx="168">
                  <c:v>1.6799999999999999E-2</c:v>
                </c:pt>
                <c:pt idx="169">
                  <c:v>1.6899999999999998E-2</c:v>
                </c:pt>
                <c:pt idx="170">
                  <c:v>1.7000000000000001E-2</c:v>
                </c:pt>
                <c:pt idx="171">
                  <c:v>1.7100000000000001E-2</c:v>
                </c:pt>
                <c:pt idx="172">
                  <c:v>1.72E-2</c:v>
                </c:pt>
                <c:pt idx="173">
                  <c:v>1.7299999999999999E-2</c:v>
                </c:pt>
                <c:pt idx="174">
                  <c:v>1.7399999999999999E-2</c:v>
                </c:pt>
                <c:pt idx="175">
                  <c:v>1.7500000000000002E-2</c:v>
                </c:pt>
                <c:pt idx="176">
                  <c:v>1.7600000000000001E-2</c:v>
                </c:pt>
                <c:pt idx="177">
                  <c:v>1.77E-2</c:v>
                </c:pt>
                <c:pt idx="178">
                  <c:v>1.78E-2</c:v>
                </c:pt>
                <c:pt idx="179">
                  <c:v>1.7899999999999999E-2</c:v>
                </c:pt>
                <c:pt idx="180">
                  <c:v>1.7999999999999999E-2</c:v>
                </c:pt>
                <c:pt idx="181">
                  <c:v>1.8100000000000002E-2</c:v>
                </c:pt>
                <c:pt idx="182">
                  <c:v>1.8200000000000001E-2</c:v>
                </c:pt>
                <c:pt idx="183">
                  <c:v>1.83E-2</c:v>
                </c:pt>
                <c:pt idx="184">
                  <c:v>1.84E-2</c:v>
                </c:pt>
                <c:pt idx="185">
                  <c:v>1.8499999999999999E-2</c:v>
                </c:pt>
                <c:pt idx="186">
                  <c:v>1.8599999999999998E-2</c:v>
                </c:pt>
                <c:pt idx="187">
                  <c:v>1.8700000000000001E-2</c:v>
                </c:pt>
                <c:pt idx="188">
                  <c:v>1.8800000000000001E-2</c:v>
                </c:pt>
                <c:pt idx="189">
                  <c:v>1.89E-2</c:v>
                </c:pt>
                <c:pt idx="190">
                  <c:v>1.9E-2</c:v>
                </c:pt>
                <c:pt idx="191">
                  <c:v>1.9099999999999999E-2</c:v>
                </c:pt>
                <c:pt idx="192">
                  <c:v>1.9199999999999998E-2</c:v>
                </c:pt>
                <c:pt idx="193">
                  <c:v>1.9300000000000001E-2</c:v>
                </c:pt>
                <c:pt idx="194">
                  <c:v>1.9400000000000001E-2</c:v>
                </c:pt>
                <c:pt idx="195">
                  <c:v>1.95E-2</c:v>
                </c:pt>
                <c:pt idx="196">
                  <c:v>1.9599999999999999E-2</c:v>
                </c:pt>
                <c:pt idx="197">
                  <c:v>1.9699999999999999E-2</c:v>
                </c:pt>
                <c:pt idx="198">
                  <c:v>1.9800000000000002E-2</c:v>
                </c:pt>
                <c:pt idx="199">
                  <c:v>1.9900000000000001E-2</c:v>
                </c:pt>
                <c:pt idx="200">
                  <c:v>0.02</c:v>
                </c:pt>
                <c:pt idx="201">
                  <c:v>2.01E-2</c:v>
                </c:pt>
                <c:pt idx="202">
                  <c:v>2.0199999999999999E-2</c:v>
                </c:pt>
                <c:pt idx="203">
                  <c:v>2.0299999999999999E-2</c:v>
                </c:pt>
                <c:pt idx="204">
                  <c:v>2.0400000000000001E-2</c:v>
                </c:pt>
                <c:pt idx="205">
                  <c:v>2.0500000000000001E-2</c:v>
                </c:pt>
                <c:pt idx="206">
                  <c:v>2.06E-2</c:v>
                </c:pt>
                <c:pt idx="207">
                  <c:v>2.07E-2</c:v>
                </c:pt>
                <c:pt idx="208">
                  <c:v>2.0799999999999999E-2</c:v>
                </c:pt>
                <c:pt idx="209">
                  <c:v>2.0899999999999998E-2</c:v>
                </c:pt>
                <c:pt idx="210">
                  <c:v>2.1000000000000001E-2</c:v>
                </c:pt>
                <c:pt idx="211">
                  <c:v>2.1100000000000001E-2</c:v>
                </c:pt>
                <c:pt idx="212">
                  <c:v>2.12E-2</c:v>
                </c:pt>
                <c:pt idx="213">
                  <c:v>2.1299999999999999E-2</c:v>
                </c:pt>
                <c:pt idx="214">
                  <c:v>2.1399999999999999E-2</c:v>
                </c:pt>
                <c:pt idx="215">
                  <c:v>2.1499999999999998E-2</c:v>
                </c:pt>
                <c:pt idx="216">
                  <c:v>2.1600000000000001E-2</c:v>
                </c:pt>
                <c:pt idx="217">
                  <c:v>2.1700000000000001E-2</c:v>
                </c:pt>
                <c:pt idx="218">
                  <c:v>2.18E-2</c:v>
                </c:pt>
                <c:pt idx="219">
                  <c:v>2.1899999999999999E-2</c:v>
                </c:pt>
                <c:pt idx="220">
                  <c:v>2.1999999999999999E-2</c:v>
                </c:pt>
                <c:pt idx="221">
                  <c:v>2.2100000000000002E-2</c:v>
                </c:pt>
                <c:pt idx="222">
                  <c:v>2.2200000000000001E-2</c:v>
                </c:pt>
                <c:pt idx="223">
                  <c:v>2.23E-2</c:v>
                </c:pt>
                <c:pt idx="224">
                  <c:v>2.24E-2</c:v>
                </c:pt>
                <c:pt idx="225">
                  <c:v>2.2499999999999999E-2</c:v>
                </c:pt>
                <c:pt idx="226">
                  <c:v>2.2599999999999999E-2</c:v>
                </c:pt>
                <c:pt idx="227">
                  <c:v>2.2700000000000001E-2</c:v>
                </c:pt>
                <c:pt idx="228">
                  <c:v>2.2800000000000001E-2</c:v>
                </c:pt>
                <c:pt idx="229">
                  <c:v>2.29E-2</c:v>
                </c:pt>
                <c:pt idx="230">
                  <c:v>2.3E-2</c:v>
                </c:pt>
                <c:pt idx="231">
                  <c:v>2.3099999999999999E-2</c:v>
                </c:pt>
                <c:pt idx="232">
                  <c:v>2.3199999999999998E-2</c:v>
                </c:pt>
                <c:pt idx="233">
                  <c:v>2.3300000000000001E-2</c:v>
                </c:pt>
                <c:pt idx="234">
                  <c:v>2.3400000000000001E-2</c:v>
                </c:pt>
                <c:pt idx="235">
                  <c:v>2.35E-2</c:v>
                </c:pt>
                <c:pt idx="236">
                  <c:v>2.3599999999999999E-2</c:v>
                </c:pt>
                <c:pt idx="237">
                  <c:v>2.3699999999999999E-2</c:v>
                </c:pt>
                <c:pt idx="238">
                  <c:v>2.3800000000000002E-2</c:v>
                </c:pt>
                <c:pt idx="239">
                  <c:v>2.3900000000000001E-2</c:v>
                </c:pt>
                <c:pt idx="240">
                  <c:v>2.4E-2</c:v>
                </c:pt>
                <c:pt idx="241">
                  <c:v>2.41E-2</c:v>
                </c:pt>
                <c:pt idx="242">
                  <c:v>2.4199999999999999E-2</c:v>
                </c:pt>
                <c:pt idx="243">
                  <c:v>2.4299999999999999E-2</c:v>
                </c:pt>
                <c:pt idx="244">
                  <c:v>2.4400000000000002E-2</c:v>
                </c:pt>
                <c:pt idx="245">
                  <c:v>2.4500000000000001E-2</c:v>
                </c:pt>
                <c:pt idx="246">
                  <c:v>2.46E-2</c:v>
                </c:pt>
                <c:pt idx="247">
                  <c:v>2.47E-2</c:v>
                </c:pt>
                <c:pt idx="248">
                  <c:v>2.4799999999999999E-2</c:v>
                </c:pt>
                <c:pt idx="249">
                  <c:v>2.4899999999999999E-2</c:v>
                </c:pt>
                <c:pt idx="250">
                  <c:v>2.5000000000000001E-2</c:v>
                </c:pt>
              </c:numCache>
            </c:numRef>
          </c:xVal>
          <c:yVal>
            <c:numRef>
              <c:f>hx!$AJ$5:$AJ$255</c:f>
              <c:numCache>
                <c:formatCode>General</c:formatCode>
                <c:ptCount val="251"/>
              </c:numCache>
            </c:numRef>
          </c:yVal>
          <c:smooth val="1"/>
        </c:ser>
        <c:dLbls>
          <c:showLegendKey val="0"/>
          <c:showVal val="0"/>
          <c:showCatName val="0"/>
          <c:showSerName val="0"/>
          <c:showPercent val="0"/>
          <c:showBubbleSize val="0"/>
        </c:dLbls>
        <c:axId val="146726912"/>
        <c:axId val="146728448"/>
      </c:scatterChart>
      <c:valAx>
        <c:axId val="146726912"/>
        <c:scaling>
          <c:orientation val="minMax"/>
          <c:max val="2.5000000000000005E-2"/>
          <c:min val="0"/>
        </c:scaling>
        <c:delete val="0"/>
        <c:axPos val="b"/>
        <c:majorGridlines/>
        <c:minorGridlines/>
        <c:numFmt formatCode="0.0000" sourceLinked="1"/>
        <c:majorTickMark val="out"/>
        <c:minorTickMark val="none"/>
        <c:tickLblPos val="nextTo"/>
        <c:crossAx val="146728448"/>
        <c:crossesAt val="-20"/>
        <c:crossBetween val="midCat"/>
      </c:valAx>
      <c:valAx>
        <c:axId val="146728448"/>
        <c:scaling>
          <c:orientation val="minMax"/>
          <c:max val="55"/>
          <c:min val="-20"/>
        </c:scaling>
        <c:delete val="0"/>
        <c:axPos val="l"/>
        <c:majorGridlines>
          <c:spPr>
            <a:ln>
              <a:noFill/>
            </a:ln>
          </c:spPr>
        </c:majorGridlines>
        <c:numFmt formatCode="0.00" sourceLinked="1"/>
        <c:majorTickMark val="out"/>
        <c:minorTickMark val="none"/>
        <c:tickLblPos val="nextTo"/>
        <c:crossAx val="146726912"/>
        <c:crosses val="autoZero"/>
        <c:crossBetween val="midCat"/>
        <c:majorUnit val="10"/>
      </c:valAx>
    </c:plotArea>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Druck-</a:t>
            </a:r>
            <a:r>
              <a:rPr lang="en-US" baseline="0"/>
              <a:t> / Temperatur Diagramm für Wasser</a:t>
            </a:r>
            <a:endParaRPr lang="en-US"/>
          </a:p>
        </c:rich>
      </c:tx>
      <c:layout/>
      <c:overlay val="0"/>
      <c:spPr>
        <a:noFill/>
        <a:ln w="25400">
          <a:noFill/>
        </a:ln>
      </c:spPr>
    </c:title>
    <c:autoTitleDeleted val="0"/>
    <c:plotArea>
      <c:layout/>
      <c:scatterChart>
        <c:scatterStyle val="smoothMarker"/>
        <c:varyColors val="0"/>
        <c:ser>
          <c:idx val="0"/>
          <c:order val="0"/>
          <c:tx>
            <c:strRef>
              <c:f>'pt Diagramm'!$C$3</c:f>
              <c:strCache>
                <c:ptCount val="1"/>
                <c:pt idx="0">
                  <c:v>Druck mbar</c:v>
                </c:pt>
              </c:strCache>
            </c:strRef>
          </c:tx>
          <c:marker>
            <c:symbol val="none"/>
          </c:marker>
          <c:xVal>
            <c:numRef>
              <c:f>'pt Diagramm'!$B$4:$B$174</c:f>
              <c:numCache>
                <c:formatCode>General</c:formatCode>
                <c:ptCount val="171"/>
                <c:pt idx="0">
                  <c:v>-20</c:v>
                </c:pt>
                <c:pt idx="1">
                  <c:v>-19</c:v>
                </c:pt>
                <c:pt idx="2">
                  <c:v>-18</c:v>
                </c:pt>
                <c:pt idx="3">
                  <c:v>-17</c:v>
                </c:pt>
                <c:pt idx="4">
                  <c:v>-16</c:v>
                </c:pt>
                <c:pt idx="5">
                  <c:v>-15</c:v>
                </c:pt>
                <c:pt idx="6">
                  <c:v>-14</c:v>
                </c:pt>
                <c:pt idx="7">
                  <c:v>-13</c:v>
                </c:pt>
                <c:pt idx="8">
                  <c:v>-12</c:v>
                </c:pt>
                <c:pt idx="9">
                  <c:v>-11</c:v>
                </c:pt>
                <c:pt idx="10">
                  <c:v>-10</c:v>
                </c:pt>
                <c:pt idx="11">
                  <c:v>-9</c:v>
                </c:pt>
                <c:pt idx="12">
                  <c:v>-8</c:v>
                </c:pt>
                <c:pt idx="13">
                  <c:v>-7</c:v>
                </c:pt>
                <c:pt idx="14">
                  <c:v>-6</c:v>
                </c:pt>
                <c:pt idx="15">
                  <c:v>-5</c:v>
                </c:pt>
                <c:pt idx="16">
                  <c:v>-4</c:v>
                </c:pt>
                <c:pt idx="17">
                  <c:v>-3</c:v>
                </c:pt>
                <c:pt idx="18">
                  <c:v>-2</c:v>
                </c:pt>
                <c:pt idx="19">
                  <c:v>-1</c:v>
                </c:pt>
                <c:pt idx="20">
                  <c:v>0</c:v>
                </c:pt>
                <c:pt idx="21">
                  <c:v>1</c:v>
                </c:pt>
                <c:pt idx="22">
                  <c:v>2</c:v>
                </c:pt>
                <c:pt idx="23">
                  <c:v>3</c:v>
                </c:pt>
                <c:pt idx="24">
                  <c:v>4</c:v>
                </c:pt>
                <c:pt idx="25">
                  <c:v>5</c:v>
                </c:pt>
                <c:pt idx="26">
                  <c:v>6</c:v>
                </c:pt>
                <c:pt idx="27">
                  <c:v>7</c:v>
                </c:pt>
                <c:pt idx="28">
                  <c:v>8</c:v>
                </c:pt>
                <c:pt idx="29">
                  <c:v>9</c:v>
                </c:pt>
                <c:pt idx="30">
                  <c:v>10</c:v>
                </c:pt>
                <c:pt idx="31">
                  <c:v>11</c:v>
                </c:pt>
                <c:pt idx="32">
                  <c:v>12</c:v>
                </c:pt>
                <c:pt idx="33">
                  <c:v>13</c:v>
                </c:pt>
                <c:pt idx="34">
                  <c:v>14</c:v>
                </c:pt>
                <c:pt idx="35">
                  <c:v>15</c:v>
                </c:pt>
                <c:pt idx="36">
                  <c:v>16</c:v>
                </c:pt>
                <c:pt idx="37">
                  <c:v>17</c:v>
                </c:pt>
                <c:pt idx="38">
                  <c:v>18</c:v>
                </c:pt>
                <c:pt idx="39">
                  <c:v>19</c:v>
                </c:pt>
                <c:pt idx="40">
                  <c:v>20</c:v>
                </c:pt>
                <c:pt idx="41">
                  <c:v>21</c:v>
                </c:pt>
                <c:pt idx="42">
                  <c:v>22</c:v>
                </c:pt>
                <c:pt idx="43">
                  <c:v>23</c:v>
                </c:pt>
                <c:pt idx="44">
                  <c:v>24</c:v>
                </c:pt>
                <c:pt idx="45">
                  <c:v>25</c:v>
                </c:pt>
                <c:pt idx="46">
                  <c:v>26</c:v>
                </c:pt>
                <c:pt idx="47">
                  <c:v>27</c:v>
                </c:pt>
                <c:pt idx="48">
                  <c:v>28</c:v>
                </c:pt>
                <c:pt idx="49">
                  <c:v>29</c:v>
                </c:pt>
                <c:pt idx="50">
                  <c:v>30</c:v>
                </c:pt>
                <c:pt idx="51">
                  <c:v>31</c:v>
                </c:pt>
                <c:pt idx="52">
                  <c:v>32</c:v>
                </c:pt>
                <c:pt idx="53">
                  <c:v>33</c:v>
                </c:pt>
                <c:pt idx="54">
                  <c:v>34</c:v>
                </c:pt>
                <c:pt idx="55">
                  <c:v>35</c:v>
                </c:pt>
                <c:pt idx="56">
                  <c:v>36</c:v>
                </c:pt>
                <c:pt idx="57">
                  <c:v>37</c:v>
                </c:pt>
                <c:pt idx="58">
                  <c:v>38</c:v>
                </c:pt>
                <c:pt idx="59">
                  <c:v>39</c:v>
                </c:pt>
                <c:pt idx="60">
                  <c:v>40</c:v>
                </c:pt>
                <c:pt idx="61">
                  <c:v>41</c:v>
                </c:pt>
                <c:pt idx="62">
                  <c:v>42</c:v>
                </c:pt>
                <c:pt idx="63">
                  <c:v>43</c:v>
                </c:pt>
                <c:pt idx="64">
                  <c:v>44</c:v>
                </c:pt>
                <c:pt idx="65">
                  <c:v>45</c:v>
                </c:pt>
                <c:pt idx="66">
                  <c:v>46</c:v>
                </c:pt>
                <c:pt idx="67">
                  <c:v>47</c:v>
                </c:pt>
                <c:pt idx="68">
                  <c:v>48</c:v>
                </c:pt>
                <c:pt idx="69">
                  <c:v>49</c:v>
                </c:pt>
                <c:pt idx="70">
                  <c:v>50</c:v>
                </c:pt>
                <c:pt idx="71">
                  <c:v>51</c:v>
                </c:pt>
                <c:pt idx="72">
                  <c:v>52</c:v>
                </c:pt>
                <c:pt idx="73">
                  <c:v>53</c:v>
                </c:pt>
                <c:pt idx="74">
                  <c:v>54</c:v>
                </c:pt>
                <c:pt idx="75">
                  <c:v>55</c:v>
                </c:pt>
                <c:pt idx="76">
                  <c:v>56</c:v>
                </c:pt>
                <c:pt idx="77">
                  <c:v>57</c:v>
                </c:pt>
                <c:pt idx="78">
                  <c:v>58</c:v>
                </c:pt>
                <c:pt idx="79">
                  <c:v>59</c:v>
                </c:pt>
                <c:pt idx="80">
                  <c:v>60</c:v>
                </c:pt>
                <c:pt idx="81">
                  <c:v>61</c:v>
                </c:pt>
                <c:pt idx="82">
                  <c:v>62</c:v>
                </c:pt>
                <c:pt idx="83">
                  <c:v>63</c:v>
                </c:pt>
                <c:pt idx="84">
                  <c:v>64</c:v>
                </c:pt>
                <c:pt idx="85">
                  <c:v>65</c:v>
                </c:pt>
                <c:pt idx="86">
                  <c:v>66</c:v>
                </c:pt>
                <c:pt idx="87">
                  <c:v>67</c:v>
                </c:pt>
                <c:pt idx="88">
                  <c:v>68</c:v>
                </c:pt>
                <c:pt idx="89">
                  <c:v>69</c:v>
                </c:pt>
                <c:pt idx="90">
                  <c:v>70</c:v>
                </c:pt>
                <c:pt idx="91">
                  <c:v>71</c:v>
                </c:pt>
                <c:pt idx="92">
                  <c:v>72</c:v>
                </c:pt>
                <c:pt idx="93">
                  <c:v>73</c:v>
                </c:pt>
                <c:pt idx="94">
                  <c:v>74</c:v>
                </c:pt>
                <c:pt idx="95">
                  <c:v>75</c:v>
                </c:pt>
                <c:pt idx="96">
                  <c:v>76</c:v>
                </c:pt>
                <c:pt idx="97">
                  <c:v>77</c:v>
                </c:pt>
                <c:pt idx="98">
                  <c:v>78</c:v>
                </c:pt>
                <c:pt idx="99">
                  <c:v>79</c:v>
                </c:pt>
                <c:pt idx="100">
                  <c:v>80</c:v>
                </c:pt>
                <c:pt idx="101">
                  <c:v>81</c:v>
                </c:pt>
                <c:pt idx="102">
                  <c:v>82</c:v>
                </c:pt>
                <c:pt idx="103">
                  <c:v>83</c:v>
                </c:pt>
                <c:pt idx="104">
                  <c:v>84</c:v>
                </c:pt>
                <c:pt idx="105">
                  <c:v>85</c:v>
                </c:pt>
                <c:pt idx="106">
                  <c:v>86</c:v>
                </c:pt>
                <c:pt idx="107">
                  <c:v>87</c:v>
                </c:pt>
                <c:pt idx="108">
                  <c:v>88</c:v>
                </c:pt>
                <c:pt idx="109">
                  <c:v>89</c:v>
                </c:pt>
                <c:pt idx="110">
                  <c:v>90</c:v>
                </c:pt>
                <c:pt idx="111">
                  <c:v>91</c:v>
                </c:pt>
                <c:pt idx="112">
                  <c:v>92</c:v>
                </c:pt>
                <c:pt idx="113">
                  <c:v>93</c:v>
                </c:pt>
                <c:pt idx="114">
                  <c:v>94</c:v>
                </c:pt>
                <c:pt idx="115">
                  <c:v>95</c:v>
                </c:pt>
                <c:pt idx="116">
                  <c:v>96</c:v>
                </c:pt>
                <c:pt idx="117">
                  <c:v>97</c:v>
                </c:pt>
                <c:pt idx="118">
                  <c:v>98</c:v>
                </c:pt>
                <c:pt idx="119">
                  <c:v>99</c:v>
                </c:pt>
                <c:pt idx="120">
                  <c:v>100</c:v>
                </c:pt>
                <c:pt idx="121">
                  <c:v>101</c:v>
                </c:pt>
                <c:pt idx="122">
                  <c:v>102</c:v>
                </c:pt>
                <c:pt idx="123">
                  <c:v>103</c:v>
                </c:pt>
                <c:pt idx="124">
                  <c:v>104</c:v>
                </c:pt>
                <c:pt idx="125">
                  <c:v>105</c:v>
                </c:pt>
                <c:pt idx="126">
                  <c:v>106</c:v>
                </c:pt>
                <c:pt idx="127">
                  <c:v>107</c:v>
                </c:pt>
                <c:pt idx="128">
                  <c:v>108</c:v>
                </c:pt>
                <c:pt idx="129">
                  <c:v>109</c:v>
                </c:pt>
                <c:pt idx="130">
                  <c:v>110</c:v>
                </c:pt>
                <c:pt idx="131">
                  <c:v>111</c:v>
                </c:pt>
                <c:pt idx="132">
                  <c:v>112</c:v>
                </c:pt>
                <c:pt idx="133">
                  <c:v>113</c:v>
                </c:pt>
                <c:pt idx="134">
                  <c:v>114</c:v>
                </c:pt>
                <c:pt idx="135">
                  <c:v>115</c:v>
                </c:pt>
                <c:pt idx="136">
                  <c:v>116</c:v>
                </c:pt>
                <c:pt idx="137">
                  <c:v>117</c:v>
                </c:pt>
                <c:pt idx="138">
                  <c:v>118</c:v>
                </c:pt>
                <c:pt idx="139">
                  <c:v>119</c:v>
                </c:pt>
                <c:pt idx="140">
                  <c:v>120</c:v>
                </c:pt>
                <c:pt idx="141">
                  <c:v>121</c:v>
                </c:pt>
                <c:pt idx="142">
                  <c:v>122</c:v>
                </c:pt>
                <c:pt idx="143">
                  <c:v>123</c:v>
                </c:pt>
                <c:pt idx="144">
                  <c:v>124</c:v>
                </c:pt>
                <c:pt idx="145">
                  <c:v>125</c:v>
                </c:pt>
                <c:pt idx="146">
                  <c:v>126</c:v>
                </c:pt>
                <c:pt idx="147">
                  <c:v>127</c:v>
                </c:pt>
                <c:pt idx="148">
                  <c:v>128</c:v>
                </c:pt>
                <c:pt idx="149">
                  <c:v>129</c:v>
                </c:pt>
                <c:pt idx="150">
                  <c:v>130</c:v>
                </c:pt>
                <c:pt idx="151">
                  <c:v>131</c:v>
                </c:pt>
                <c:pt idx="152">
                  <c:v>132</c:v>
                </c:pt>
                <c:pt idx="153">
                  <c:v>133</c:v>
                </c:pt>
                <c:pt idx="154">
                  <c:v>134</c:v>
                </c:pt>
                <c:pt idx="155">
                  <c:v>135</c:v>
                </c:pt>
                <c:pt idx="156">
                  <c:v>136</c:v>
                </c:pt>
                <c:pt idx="157">
                  <c:v>137</c:v>
                </c:pt>
                <c:pt idx="158">
                  <c:v>138</c:v>
                </c:pt>
                <c:pt idx="159">
                  <c:v>139</c:v>
                </c:pt>
                <c:pt idx="160">
                  <c:v>140</c:v>
                </c:pt>
                <c:pt idx="161">
                  <c:v>141</c:v>
                </c:pt>
                <c:pt idx="162">
                  <c:v>142</c:v>
                </c:pt>
                <c:pt idx="163">
                  <c:v>143</c:v>
                </c:pt>
                <c:pt idx="164">
                  <c:v>144</c:v>
                </c:pt>
                <c:pt idx="165">
                  <c:v>145</c:v>
                </c:pt>
                <c:pt idx="166">
                  <c:v>146</c:v>
                </c:pt>
                <c:pt idx="167">
                  <c:v>147</c:v>
                </c:pt>
                <c:pt idx="168">
                  <c:v>148</c:v>
                </c:pt>
                <c:pt idx="169">
                  <c:v>149</c:v>
                </c:pt>
                <c:pt idx="170">
                  <c:v>150</c:v>
                </c:pt>
              </c:numCache>
            </c:numRef>
          </c:xVal>
          <c:yVal>
            <c:numRef>
              <c:f>'pt Diagramm'!$C$4:$C$174</c:f>
              <c:numCache>
                <c:formatCode>0</c:formatCode>
                <c:ptCount val="171"/>
                <c:pt idx="0">
                  <c:v>1.0319918817206675</c:v>
                </c:pt>
                <c:pt idx="1">
                  <c:v>1.1355007760164009</c:v>
                </c:pt>
                <c:pt idx="2">
                  <c:v>1.2484558927016993</c:v>
                </c:pt>
                <c:pt idx="3">
                  <c:v>1.3716313297275911</c:v>
                </c:pt>
                <c:pt idx="4">
                  <c:v>1.5058571153977787</c:v>
                </c:pt>
                <c:pt idx="5">
                  <c:v>1.6520226755523733</c:v>
                </c:pt>
                <c:pt idx="6">
                  <c:v>1.811080476997448</c:v>
                </c:pt>
                <c:pt idx="7">
                  <c:v>1.9840498538889608</c:v>
                </c:pt>
                <c:pt idx="8">
                  <c:v>2.1720210239248186</c:v>
                </c:pt>
                <c:pt idx="9">
                  <c:v>2.3761593013428013</c:v>
                </c:pt>
                <c:pt idx="10">
                  <c:v>2.5977095138643027</c:v>
                </c:pt>
                <c:pt idx="11">
                  <c:v>2.8380006308644012</c:v>
                </c:pt>
                <c:pt idx="12">
                  <c:v>3.0984506101876623</c:v>
                </c:pt>
                <c:pt idx="13">
                  <c:v>3.3805714711649499</c:v>
                </c:pt>
                <c:pt idx="14">
                  <c:v>3.6859746015216865</c:v>
                </c:pt>
                <c:pt idx="15">
                  <c:v>4.0163763059987359</c:v>
                </c:pt>
                <c:pt idx="16">
                  <c:v>4.3736036046366245</c:v>
                </c:pt>
                <c:pt idx="17">
                  <c:v>4.7596002888001863</c:v>
                </c:pt>
                <c:pt idx="18">
                  <c:v>5.1764332431430153</c:v>
                </c:pt>
                <c:pt idx="19">
                  <c:v>5.6262990418316994</c:v>
                </c:pt>
                <c:pt idx="20">
                  <c:v>6.1115308274659128</c:v>
                </c:pt>
                <c:pt idx="21">
                  <c:v>6.5706358831144414</c:v>
                </c:pt>
                <c:pt idx="22">
                  <c:v>7.0602624231278259</c:v>
                </c:pt>
                <c:pt idx="23">
                  <c:v>7.5818404405834894</c:v>
                </c:pt>
                <c:pt idx="24">
                  <c:v>8.1371443052381451</c:v>
                </c:pt>
                <c:pt idx="25">
                  <c:v>8.7280283656306015</c:v>
                </c:pt>
                <c:pt idx="26">
                  <c:v>9.3564296125901674</c:v>
                </c:pt>
                <c:pt idx="27">
                  <c:v>10.024370392266901</c:v>
                </c:pt>
                <c:pt idx="28">
                  <c:v>10.733961168304083</c:v>
                </c:pt>
                <c:pt idx="29">
                  <c:v>11.487403332735008</c:v>
                </c:pt>
                <c:pt idx="30">
                  <c:v>12.286992065144409</c:v>
                </c:pt>
                <c:pt idx="31">
                  <c:v>13.135119239597417</c:v>
                </c:pt>
                <c:pt idx="32">
                  <c:v>14.034276378798639</c:v>
                </c:pt>
                <c:pt idx="33">
                  <c:v>14.987057654906005</c:v>
                </c:pt>
                <c:pt idx="34">
                  <c:v>15.996162936384845</c:v>
                </c:pt>
                <c:pt idx="35">
                  <c:v>17.064400880252176</c:v>
                </c:pt>
                <c:pt idx="36">
                  <c:v>18.194692069020395</c:v>
                </c:pt>
                <c:pt idx="37">
                  <c:v>19.390072191616714</c:v>
                </c:pt>
                <c:pt idx="38">
                  <c:v>20.653695267515729</c:v>
                </c:pt>
                <c:pt idx="39">
                  <c:v>21.988836913288495</c:v>
                </c:pt>
                <c:pt idx="40">
                  <c:v>23.398897650736885</c:v>
                </c:pt>
                <c:pt idx="41">
                  <c:v>24.887406255746345</c:v>
                </c:pt>
                <c:pt idx="42">
                  <c:v>26.458023146959182</c:v>
                </c:pt>
                <c:pt idx="43">
                  <c:v>28.114543813335722</c:v>
                </c:pt>
                <c:pt idx="44">
                  <c:v>29.860902279640243</c:v>
                </c:pt>
                <c:pt idx="45">
                  <c:v>31.70117460885761</c:v>
                </c:pt>
                <c:pt idx="46">
                  <c:v>33.639582440515078</c:v>
                </c:pt>
                <c:pt idx="47">
                  <c:v>35.680496563856849</c:v>
                </c:pt>
                <c:pt idx="48">
                  <c:v>37.828440524787709</c:v>
                </c:pt>
                <c:pt idx="49">
                  <c:v>40.088094265477984</c:v>
                </c:pt>
                <c:pt idx="50">
                  <c:v>42.464297795492236</c:v>
                </c:pt>
                <c:pt idx="51">
                  <c:v>44.96205489328063</c:v>
                </c:pt>
                <c:pt idx="52">
                  <c:v>47.586536836847912</c:v>
                </c:pt>
                <c:pt idx="53">
                  <c:v>50.343086162388545</c:v>
                </c:pt>
                <c:pt idx="54">
                  <c:v>53.237220449657499</c:v>
                </c:pt>
                <c:pt idx="55">
                  <c:v>56.274636132821918</c:v>
                </c:pt>
                <c:pt idx="56">
                  <c:v>59.461212335519342</c:v>
                </c:pt>
                <c:pt idx="57">
                  <c:v>62.803014728830362</c:v>
                </c:pt>
                <c:pt idx="58">
                  <c:v>66.306299410851054</c:v>
                </c:pt>
                <c:pt idx="59">
                  <c:v>69.977516806538048</c:v>
                </c:pt>
                <c:pt idx="60">
                  <c:v>73.823315586478984</c:v>
                </c:pt>
                <c:pt idx="61">
                  <c:v>77.850546603227542</c:v>
                </c:pt>
                <c:pt idx="62">
                  <c:v>82.066266843828913</c:v>
                </c:pt>
                <c:pt idx="63">
                  <c:v>86.477743397145375</c:v>
                </c:pt>
                <c:pt idx="64">
                  <c:v>91.092457434583508</c:v>
                </c:pt>
                <c:pt idx="65">
                  <c:v>95.918108202810814</c:v>
                </c:pt>
                <c:pt idx="66">
                  <c:v>100.96261702703944</c:v>
                </c:pt>
                <c:pt idx="67">
                  <c:v>106.2341313234495</c:v>
                </c:pt>
                <c:pt idx="68">
                  <c:v>111.74102861931146</c:v>
                </c:pt>
                <c:pt idx="69">
                  <c:v>117.49192057936405</c:v>
                </c:pt>
                <c:pt idx="70">
                  <c:v>123.49565703699717</c:v>
                </c:pt>
                <c:pt idx="71">
                  <c:v>129.76133002878544</c:v>
                </c:pt>
                <c:pt idx="72">
                  <c:v>136.29827783091093</c:v>
                </c:pt>
                <c:pt idx="73">
                  <c:v>143.11608899601896</c:v>
                </c:pt>
                <c:pt idx="74">
                  <c:v>150.22460638903627</c:v>
                </c:pt>
                <c:pt idx="75">
                  <c:v>157.63393122049834</c:v>
                </c:pt>
                <c:pt idx="76">
                  <c:v>165.35442707591082</c:v>
                </c:pt>
                <c:pt idx="77">
                  <c:v>173.39672393969329</c:v>
                </c:pt>
                <c:pt idx="78">
                  <c:v>181.77172221223941</c:v>
                </c:pt>
                <c:pt idx="79">
                  <c:v>190.49059671864057</c:v>
                </c:pt>
                <c:pt idx="80">
                  <c:v>199.17381748501862</c:v>
                </c:pt>
                <c:pt idx="81">
                  <c:v>208.57560419579715</c:v>
                </c:pt>
                <c:pt idx="82">
                  <c:v>218.35275950987534</c:v>
                </c:pt>
                <c:pt idx="83">
                  <c:v>228.51731077126669</c:v>
                </c:pt>
                <c:pt idx="84">
                  <c:v>239.08156117537058</c:v>
                </c:pt>
                <c:pt idx="85">
                  <c:v>250.05809245373572</c:v>
                </c:pt>
                <c:pt idx="86">
                  <c:v>261.45976743922245</c:v>
                </c:pt>
                <c:pt idx="87">
                  <c:v>273.2997325021484</c:v>
                </c:pt>
                <c:pt idx="88">
                  <c:v>285.59141984753791</c:v>
                </c:pt>
                <c:pt idx="89">
                  <c:v>298.34854966313696</c:v>
                </c:pt>
                <c:pt idx="90">
                  <c:v>311.58513210736135</c:v>
                </c:pt>
                <c:pt idx="91">
                  <c:v>325.31546912584315</c:v>
                </c:pt>
                <c:pt idx="92">
                  <c:v>339.55415608473771</c:v>
                </c:pt>
                <c:pt idx="93">
                  <c:v>354.31608320841548</c:v>
                </c:pt>
                <c:pt idx="94">
                  <c:v>369.61643680863</c:v>
                </c:pt>
                <c:pt idx="95">
                  <c:v>385.47070029169686</c:v>
                </c:pt>
                <c:pt idx="96">
                  <c:v>401.89465492965923</c:v>
                </c:pt>
                <c:pt idx="97">
                  <c:v>418.90438038082732</c:v>
                </c:pt>
                <c:pt idx="98">
                  <c:v>436.51625494450309</c:v>
                </c:pt>
                <c:pt idx="99">
                  <c:v>454.74695553409936</c:v>
                </c:pt>
                <c:pt idx="100">
                  <c:v>473.61345735224404</c:v>
                </c:pt>
                <c:pt idx="101">
                  <c:v>493.13303325086713</c:v>
                </c:pt>
                <c:pt idx="102">
                  <c:v>513.32325275860285</c:v>
                </c:pt>
                <c:pt idx="103">
                  <c:v>534.20198075725182</c:v>
                </c:pt>
                <c:pt idx="104">
                  <c:v>555.78737578837809</c:v>
                </c:pt>
                <c:pt idx="105">
                  <c:v>578.09788797047088</c:v>
                </c:pt>
                <c:pt idx="106">
                  <c:v>601.15225650647585</c:v>
                </c:pt>
                <c:pt idx="107">
                  <c:v>624.96950676083441</c:v>
                </c:pt>
                <c:pt idx="108">
                  <c:v>649.56894688450461</c:v>
                </c:pt>
                <c:pt idx="109">
                  <c:v>674.97016396582728</c:v>
                </c:pt>
                <c:pt idx="110">
                  <c:v>701.19301968440516</c:v>
                </c:pt>
                <c:pt idx="111">
                  <c:v>728.25764544455672</c:v>
                </c:pt>
                <c:pt idx="112">
                  <c:v>756.18443696423594</c:v>
                </c:pt>
                <c:pt idx="113">
                  <c:v>784.99404829472303</c:v>
                </c:pt>
                <c:pt idx="114">
                  <c:v>814.70738524572039</c:v>
                </c:pt>
                <c:pt idx="115">
                  <c:v>845.34559818992295</c:v>
                </c:pt>
                <c:pt idx="116">
                  <c:v>876.93007422053108</c:v>
                </c:pt>
                <c:pt idx="117">
                  <c:v>909.48242863458574</c:v>
                </c:pt>
                <c:pt idx="118">
                  <c:v>943.02449571448392</c:v>
                </c:pt>
                <c:pt idx="119">
                  <c:v>977.57831877948661</c:v>
                </c:pt>
                <c:pt idx="120">
                  <c:v>1012.9479827065562</c:v>
                </c:pt>
                <c:pt idx="121">
                  <c:v>1049.713438360179</c:v>
                </c:pt>
                <c:pt idx="122">
                  <c:v>1087.5723284995127</c:v>
                </c:pt>
                <c:pt idx="123">
                  <c:v>1126.5493119913899</c:v>
                </c:pt>
                <c:pt idx="124">
                  <c:v>1166.6694041940868</c:v>
                </c:pt>
                <c:pt idx="125">
                  <c:v>1207.9579787255561</c:v>
                </c:pt>
                <c:pt idx="126">
                  <c:v>1250.4407692149391</c:v>
                </c:pt>
                <c:pt idx="127">
                  <c:v>1294.1438710366276</c:v>
                </c:pt>
                <c:pt idx="128">
                  <c:v>1339.0937430258755</c:v>
                </c:pt>
                <c:pt idx="129">
                  <c:v>1385.3172091749398</c:v>
                </c:pt>
                <c:pt idx="130">
                  <c:v>1432.8414603084063</c:v>
                </c:pt>
                <c:pt idx="131">
                  <c:v>1481.6940557363939</c:v>
                </c:pt>
                <c:pt idx="132">
                  <c:v>1531.9029248839292</c:v>
                </c:pt>
                <c:pt idx="133">
                  <c:v>1583.4963688948289</c:v>
                </c:pt>
                <c:pt idx="134">
                  <c:v>1636.503062208064</c:v>
                </c:pt>
                <c:pt idx="135">
                  <c:v>1690.9520541044947</c:v>
                </c:pt>
                <c:pt idx="136">
                  <c:v>1746.8727702216204</c:v>
                </c:pt>
                <c:pt idx="137">
                  <c:v>1804.2950140338151</c:v>
                </c:pt>
                <c:pt idx="138">
                  <c:v>1863.2489682953012</c:v>
                </c:pt>
                <c:pt idx="139">
                  <c:v>1923.7651964428555</c:v>
                </c:pt>
                <c:pt idx="140">
                  <c:v>1985.8746439551178</c:v>
                </c:pt>
                <c:pt idx="141">
                  <c:v>2049.6086396650476</c:v>
                </c:pt>
                <c:pt idx="142">
                  <c:v>2114.998897021901</c:v>
                </c:pt>
                <c:pt idx="143">
                  <c:v>2182.0775152988581</c:v>
                </c:pt>
                <c:pt idx="144">
                  <c:v>2250.8769807421108</c:v>
                </c:pt>
                <c:pt idx="145">
                  <c:v>2321.4301676571772</c:v>
                </c:pt>
                <c:pt idx="146">
                  <c:v>2393.770339427645</c:v>
                </c:pt>
                <c:pt idx="147">
                  <c:v>2467.9311494615854</c:v>
                </c:pt>
                <c:pt idx="148">
                  <c:v>2543.9466420604099</c:v>
                </c:pt>
                <c:pt idx="149">
                  <c:v>2621.8512532048289</c:v>
                </c:pt>
                <c:pt idx="150">
                  <c:v>2701.6798112521187</c:v>
                </c:pt>
                <c:pt idx="151">
                  <c:v>2783.4675375387851</c:v>
                </c:pt>
                <c:pt idx="152">
                  <c:v>2867.2500468823487</c:v>
                </c:pt>
                <c:pt idx="153">
                  <c:v>2953.0633479756957</c:v>
                </c:pt>
                <c:pt idx="154">
                  <c:v>3040.9438436671476</c:v>
                </c:pt>
                <c:pt idx="155">
                  <c:v>3130.9283311190679</c:v>
                </c:pt>
                <c:pt idx="156">
                  <c:v>3223.0540018376596</c:v>
                </c:pt>
                <c:pt idx="157">
                  <c:v>3317.3584415660453</c:v>
                </c:pt>
                <c:pt idx="158">
                  <c:v>3413.8796300326353</c:v>
                </c:pt>
                <c:pt idx="159">
                  <c:v>3512.6559405464518</c:v>
                </c:pt>
                <c:pt idx="160">
                  <c:v>3613.726139430521</c:v>
                </c:pt>
                <c:pt idx="161">
                  <c:v>3717.1293852844592</c:v>
                </c:pt>
                <c:pt idx="162">
                  <c:v>3822.9052280667624</c:v>
                </c:pt>
                <c:pt idx="163">
                  <c:v>3931.0936079871981</c:v>
                </c:pt>
                <c:pt idx="164">
                  <c:v>4041.7348541991246</c:v>
                </c:pt>
                <c:pt idx="165">
                  <c:v>4154.8696832814103</c:v>
                </c:pt>
                <c:pt idx="166">
                  <c:v>4270.5391974992926</c:v>
                </c:pt>
                <c:pt idx="167">
                  <c:v>4388.7848828329461</c:v>
                </c:pt>
                <c:pt idx="168">
                  <c:v>4509.6486067624119</c:v>
                </c:pt>
                <c:pt idx="169">
                  <c:v>4633.1726157970588</c:v>
                </c:pt>
                <c:pt idx="170">
                  <c:v>4759.3995327374869</c:v>
                </c:pt>
              </c:numCache>
            </c:numRef>
          </c:yVal>
          <c:smooth val="1"/>
        </c:ser>
        <c:dLbls>
          <c:showLegendKey val="0"/>
          <c:showVal val="0"/>
          <c:showCatName val="0"/>
          <c:showSerName val="0"/>
          <c:showPercent val="0"/>
          <c:showBubbleSize val="0"/>
        </c:dLbls>
        <c:axId val="66651648"/>
        <c:axId val="66653568"/>
      </c:scatterChart>
      <c:valAx>
        <c:axId val="66651648"/>
        <c:scaling>
          <c:orientation val="minMax"/>
          <c:max val="150"/>
          <c:min val="-20"/>
        </c:scaling>
        <c:delete val="0"/>
        <c:axPos val="b"/>
        <c:majorGridlines/>
        <c:title>
          <c:tx>
            <c:rich>
              <a:bodyPr/>
              <a:lstStyle/>
              <a:p>
                <a:pPr>
                  <a:defRPr/>
                </a:pPr>
                <a:r>
                  <a:rPr lang="de-DE"/>
                  <a:t>Temperatur in °C</a:t>
                </a:r>
              </a:p>
            </c:rich>
          </c:tx>
          <c:layout/>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de-DE"/>
          </a:p>
        </c:txPr>
        <c:crossAx val="66653568"/>
        <c:crossesAt val="1"/>
        <c:crossBetween val="midCat"/>
        <c:majorUnit val="10"/>
      </c:valAx>
      <c:valAx>
        <c:axId val="66653568"/>
        <c:scaling>
          <c:logBase val="10"/>
          <c:orientation val="minMax"/>
        </c:scaling>
        <c:delete val="0"/>
        <c:axPos val="l"/>
        <c:majorGridlines/>
        <c:minorGridlines/>
        <c:title>
          <c:tx>
            <c:rich>
              <a:bodyPr rot="-5400000" vert="horz"/>
              <a:lstStyle/>
              <a:p>
                <a:pPr>
                  <a:defRPr/>
                </a:pPr>
                <a:r>
                  <a:rPr lang="de-DE"/>
                  <a:t>Druck in mbar</a:t>
                </a:r>
              </a:p>
            </c:rich>
          </c:tx>
          <c:layout/>
          <c:overlay val="0"/>
          <c:spPr>
            <a:noFill/>
            <a:ln w="25400">
              <a:noFill/>
            </a:ln>
          </c:spPr>
        </c:title>
        <c:numFmt formatCode="0" sourceLinked="1"/>
        <c:majorTickMark val="out"/>
        <c:minorTickMark val="none"/>
        <c:tickLblPos val="nextTo"/>
        <c:crossAx val="66651648"/>
        <c:crossesAt val="-20"/>
        <c:crossBetween val="midCat"/>
      </c:valAx>
    </c:plotArea>
    <c:plotVisOnly val="1"/>
    <c:dispBlanksAs val="gap"/>
    <c:showDLblsOverMax val="0"/>
  </c:chart>
  <c:printSettings>
    <c:headerFooter/>
    <c:pageMargins b="0.78740157499999996" l="0.7" r="0.7" t="0.78740157499999996"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742949</xdr:colOff>
      <xdr:row>0</xdr:row>
      <xdr:rowOff>47625</xdr:rowOff>
    </xdr:from>
    <xdr:to>
      <xdr:col>2</xdr:col>
      <xdr:colOff>10125074</xdr:colOff>
      <xdr:row>42</xdr:row>
      <xdr:rowOff>28574</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0</xdr:row>
      <xdr:rowOff>104775</xdr:rowOff>
    </xdr:from>
    <xdr:to>
      <xdr:col>13</xdr:col>
      <xdr:colOff>552450</xdr:colOff>
      <xdr:row>38</xdr:row>
      <xdr:rowOff>171450</xdr:rowOff>
    </xdr:to>
    <xdr:graphicFrame macro="">
      <xdr:nvGraphicFramePr>
        <xdr:cNvPr id="2049"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B2:B23"/>
  <sheetViews>
    <sheetView tabSelected="1" workbookViewId="0">
      <selection activeCell="B24" sqref="B24"/>
    </sheetView>
  </sheetViews>
  <sheetFormatPr baseColWidth="10" defaultRowHeight="15" x14ac:dyDescent="0.25"/>
  <cols>
    <col min="2" max="2" width="68.28515625" customWidth="1"/>
  </cols>
  <sheetData>
    <row r="2" spans="2:2" ht="21" x14ac:dyDescent="0.35">
      <c r="B2" s="99" t="s">
        <v>181</v>
      </c>
    </row>
    <row r="4" spans="2:2" x14ac:dyDescent="0.25">
      <c r="B4" t="s">
        <v>182</v>
      </c>
    </row>
    <row r="6" spans="2:2" x14ac:dyDescent="0.25">
      <c r="B6" s="100"/>
    </row>
    <row r="8" spans="2:2" ht="30" x14ac:dyDescent="0.25">
      <c r="B8" s="102" t="s">
        <v>148</v>
      </c>
    </row>
    <row r="10" spans="2:2" ht="45" x14ac:dyDescent="0.25">
      <c r="B10" s="102" t="s">
        <v>146</v>
      </c>
    </row>
    <row r="12" spans="2:2" ht="30" x14ac:dyDescent="0.25">
      <c r="B12" s="102" t="s">
        <v>147</v>
      </c>
    </row>
    <row r="14" spans="2:2" ht="30" x14ac:dyDescent="0.25">
      <c r="B14" s="102" t="s">
        <v>149</v>
      </c>
    </row>
    <row r="16" spans="2:2" ht="30" x14ac:dyDescent="0.25">
      <c r="B16" s="102" t="s">
        <v>150</v>
      </c>
    </row>
    <row r="18" spans="2:2" x14ac:dyDescent="0.25">
      <c r="B18" s="113" t="s">
        <v>152</v>
      </c>
    </row>
    <row r="19" spans="2:2" ht="75" x14ac:dyDescent="0.25">
      <c r="B19" s="102" t="s">
        <v>153</v>
      </c>
    </row>
    <row r="21" spans="2:2" x14ac:dyDescent="0.25">
      <c r="B21" t="s">
        <v>243</v>
      </c>
    </row>
    <row r="22" spans="2:2" x14ac:dyDescent="0.25">
      <c r="B22" t="s">
        <v>244</v>
      </c>
    </row>
    <row r="23" spans="2:2" x14ac:dyDescent="0.25">
      <c r="B23" t="s">
        <v>245</v>
      </c>
    </row>
  </sheetData>
  <sheetProtection sheet="1" objects="1" scenarios="1"/>
  <phoneticPr fontId="10" type="noConversion"/>
  <pageMargins left="0.7" right="0.7" top="0.78740157499999996" bottom="0.78740157499999996"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P124"/>
  <sheetViews>
    <sheetView topLeftCell="A28" workbookViewId="0">
      <selection activeCell="C27" sqref="C27"/>
    </sheetView>
  </sheetViews>
  <sheetFormatPr baseColWidth="10" defaultRowHeight="15" x14ac:dyDescent="0.25"/>
  <cols>
    <col min="2" max="2" width="7.85546875" bestFit="1" customWidth="1"/>
    <col min="3" max="3" width="8.5703125" customWidth="1"/>
    <col min="4" max="4" width="7.140625" bestFit="1" customWidth="1"/>
    <col min="5" max="5" width="12" bestFit="1" customWidth="1"/>
    <col min="7" max="7" width="12" bestFit="1" customWidth="1"/>
    <col min="8" max="8" width="8.28515625" bestFit="1" customWidth="1"/>
    <col min="9" max="9" width="113.85546875" bestFit="1" customWidth="1"/>
    <col min="10" max="10" width="74" bestFit="1" customWidth="1"/>
    <col min="11" max="19" width="11.7109375" customWidth="1"/>
  </cols>
  <sheetData>
    <row r="1" spans="1:9" ht="18.75" x14ac:dyDescent="0.3">
      <c r="A1" s="45" t="s">
        <v>25</v>
      </c>
    </row>
    <row r="3" spans="1:9" x14ac:dyDescent="0.25">
      <c r="A3" t="s">
        <v>144</v>
      </c>
    </row>
    <row r="4" spans="1:9" x14ac:dyDescent="0.25">
      <c r="A4" t="s">
        <v>138</v>
      </c>
    </row>
    <row r="5" spans="1:9" x14ac:dyDescent="0.25">
      <c r="A5" t="s">
        <v>145</v>
      </c>
    </row>
    <row r="6" spans="1:9" x14ac:dyDescent="0.25">
      <c r="A6" t="s">
        <v>180</v>
      </c>
    </row>
    <row r="7" spans="1:9" ht="15.75" thickBot="1" x14ac:dyDescent="0.3"/>
    <row r="8" spans="1:9" ht="15" customHeight="1" x14ac:dyDescent="0.3">
      <c r="A8" s="63"/>
      <c r="B8" s="64"/>
      <c r="C8" s="64"/>
      <c r="D8" s="64"/>
      <c r="E8" s="64"/>
      <c r="F8" s="64"/>
      <c r="G8" s="64"/>
      <c r="H8" s="64"/>
      <c r="I8" s="76"/>
    </row>
    <row r="9" spans="1:9" ht="15" customHeight="1" x14ac:dyDescent="0.25">
      <c r="A9" s="66"/>
      <c r="B9" s="1"/>
      <c r="C9" s="1"/>
      <c r="D9" s="1"/>
      <c r="E9" s="1"/>
      <c r="F9" s="228" t="s">
        <v>199</v>
      </c>
      <c r="G9" s="1"/>
      <c r="H9" s="1"/>
      <c r="I9" s="77" t="s">
        <v>51</v>
      </c>
    </row>
    <row r="10" spans="1:9" ht="15" customHeight="1" thickBot="1" x14ac:dyDescent="0.3">
      <c r="A10" s="66"/>
      <c r="B10" s="1"/>
      <c r="D10" s="1"/>
      <c r="E10" s="3">
        <f>RLuft()</f>
        <v>287.05</v>
      </c>
      <c r="F10" s="78" t="s">
        <v>107</v>
      </c>
      <c r="H10" s="1" t="s">
        <v>136</v>
      </c>
      <c r="I10" s="67" t="s">
        <v>71</v>
      </c>
    </row>
    <row r="11" spans="1:9" ht="15" customHeight="1" thickTop="1" thickBot="1" x14ac:dyDescent="0.3">
      <c r="A11" s="66"/>
      <c r="B11" s="1"/>
      <c r="D11" s="1"/>
      <c r="E11" s="4">
        <f>RDampf()</f>
        <v>461.52</v>
      </c>
      <c r="F11" s="78" t="s">
        <v>108</v>
      </c>
      <c r="H11" s="1" t="s">
        <v>136</v>
      </c>
      <c r="I11" s="67" t="s">
        <v>106</v>
      </c>
    </row>
    <row r="12" spans="1:9" ht="15" customHeight="1" thickTop="1" thickBot="1" x14ac:dyDescent="0.3">
      <c r="A12" s="66"/>
      <c r="B12" s="1"/>
      <c r="D12" s="1"/>
      <c r="E12" s="53">
        <f>RD_RL()</f>
        <v>0.62196654532847984</v>
      </c>
      <c r="F12" s="78" t="s">
        <v>109</v>
      </c>
      <c r="H12" s="82">
        <v>1</v>
      </c>
      <c r="I12" s="67" t="s">
        <v>45</v>
      </c>
    </row>
    <row r="13" spans="1:9" ht="15" customHeight="1" thickTop="1" thickBot="1" x14ac:dyDescent="0.3">
      <c r="A13" s="66"/>
      <c r="B13" s="1"/>
      <c r="D13" s="1"/>
      <c r="E13" s="4">
        <f>cpl()</f>
        <v>1.0045999999999999</v>
      </c>
      <c r="F13" s="78" t="s">
        <v>110</v>
      </c>
      <c r="H13" s="1" t="s">
        <v>126</v>
      </c>
      <c r="I13" s="67" t="s">
        <v>68</v>
      </c>
    </row>
    <row r="14" spans="1:9" ht="15" customHeight="1" thickTop="1" thickBot="1" x14ac:dyDescent="0.3">
      <c r="A14" s="66"/>
      <c r="B14" s="1"/>
      <c r="D14" s="1"/>
      <c r="E14" s="4">
        <f>R0()</f>
        <v>2500.5</v>
      </c>
      <c r="F14" s="78" t="s">
        <v>111</v>
      </c>
      <c r="H14" s="1" t="s">
        <v>17</v>
      </c>
      <c r="I14" s="67" t="s">
        <v>66</v>
      </c>
    </row>
    <row r="15" spans="1:9" ht="15" customHeight="1" thickTop="1" thickBot="1" x14ac:dyDescent="0.3">
      <c r="A15" s="66"/>
      <c r="B15" s="1"/>
      <c r="D15" s="1"/>
      <c r="E15" s="4">
        <f>CPw()</f>
        <v>1.88</v>
      </c>
      <c r="F15" s="78" t="s">
        <v>112</v>
      </c>
      <c r="H15" s="1" t="s">
        <v>17</v>
      </c>
      <c r="I15" s="67" t="s">
        <v>67</v>
      </c>
    </row>
    <row r="16" spans="1:9" ht="15" customHeight="1" thickTop="1" thickBot="1" x14ac:dyDescent="0.3">
      <c r="A16" s="66"/>
      <c r="B16" s="1"/>
      <c r="D16" s="1"/>
      <c r="E16" s="4">
        <f>cw()</f>
        <v>4.1920000000000002</v>
      </c>
      <c r="F16" s="78" t="s">
        <v>113</v>
      </c>
      <c r="H16" s="1" t="s">
        <v>17</v>
      </c>
      <c r="I16" s="67" t="s">
        <v>69</v>
      </c>
    </row>
    <row r="17" spans="1:9" ht="15" customHeight="1" thickTop="1" thickBot="1" x14ac:dyDescent="0.3">
      <c r="A17" s="66"/>
      <c r="B17" s="1"/>
      <c r="D17" s="1"/>
      <c r="E17" s="4">
        <f>CE()</f>
        <v>2.0699999999999998</v>
      </c>
      <c r="F17" s="78" t="s">
        <v>114</v>
      </c>
      <c r="H17" s="1" t="s">
        <v>17</v>
      </c>
      <c r="I17" s="67" t="s">
        <v>70</v>
      </c>
    </row>
    <row r="18" spans="1:9" ht="15" customHeight="1" thickTop="1" thickBot="1" x14ac:dyDescent="0.3">
      <c r="A18" s="66"/>
      <c r="B18" s="1"/>
      <c r="D18" s="1"/>
      <c r="E18" s="4">
        <f>rE()</f>
        <v>333.4</v>
      </c>
      <c r="F18" s="78" t="s">
        <v>115</v>
      </c>
      <c r="H18" s="1" t="s">
        <v>17</v>
      </c>
      <c r="I18" s="67" t="s">
        <v>46</v>
      </c>
    </row>
    <row r="19" spans="1:9" ht="15" customHeight="1" thickTop="1" thickBot="1" x14ac:dyDescent="0.3">
      <c r="A19" s="66"/>
      <c r="B19" s="1"/>
      <c r="D19" s="1"/>
      <c r="E19" s="4">
        <f>Avogadro()</f>
        <v>8.3144100000000005</v>
      </c>
      <c r="F19" s="78" t="s">
        <v>116</v>
      </c>
      <c r="H19" s="1" t="s">
        <v>135</v>
      </c>
      <c r="I19" s="67" t="s">
        <v>47</v>
      </c>
    </row>
    <row r="20" spans="1:9" ht="15" customHeight="1" thickTop="1" thickBot="1" x14ac:dyDescent="0.3">
      <c r="A20" s="66"/>
      <c r="B20" s="1"/>
      <c r="D20" s="1"/>
      <c r="E20" s="4">
        <f>Erdbeschleunigung()</f>
        <v>9.81</v>
      </c>
      <c r="F20" s="78" t="s">
        <v>117</v>
      </c>
      <c r="H20" s="1" t="s">
        <v>134</v>
      </c>
      <c r="I20" s="67" t="s">
        <v>48</v>
      </c>
    </row>
    <row r="21" spans="1:9" ht="15" customHeight="1" thickTop="1" thickBot="1" x14ac:dyDescent="0.3">
      <c r="A21" s="66"/>
      <c r="B21" s="1"/>
      <c r="D21" s="1"/>
      <c r="E21" s="4">
        <f>ML()</f>
        <v>28.96</v>
      </c>
      <c r="F21" s="78" t="s">
        <v>118</v>
      </c>
      <c r="H21" s="1" t="s">
        <v>133</v>
      </c>
      <c r="I21" s="67" t="s">
        <v>49</v>
      </c>
    </row>
    <row r="22" spans="1:9" ht="15" customHeight="1" thickTop="1" thickBot="1" x14ac:dyDescent="0.3">
      <c r="A22" s="66"/>
      <c r="B22" s="1"/>
      <c r="D22" s="1"/>
      <c r="E22" s="4">
        <f>MW()</f>
        <v>18.02</v>
      </c>
      <c r="F22" s="78" t="s">
        <v>119</v>
      </c>
      <c r="H22" s="1" t="s">
        <v>133</v>
      </c>
      <c r="I22" s="67" t="s">
        <v>50</v>
      </c>
    </row>
    <row r="23" spans="1:9" ht="15" customHeight="1" thickTop="1" thickBot="1" x14ac:dyDescent="0.3">
      <c r="A23" s="66"/>
      <c r="B23" s="1"/>
      <c r="D23" s="1"/>
      <c r="E23" s="4">
        <f>K0()</f>
        <v>273.14999999999998</v>
      </c>
      <c r="F23" s="78" t="s">
        <v>120</v>
      </c>
      <c r="H23" s="1" t="s">
        <v>14</v>
      </c>
      <c r="I23" s="67" t="s">
        <v>102</v>
      </c>
    </row>
    <row r="24" spans="1:9" ht="15" customHeight="1" thickTop="1" thickBot="1" x14ac:dyDescent="0.3">
      <c r="A24" s="66"/>
      <c r="B24" s="1"/>
      <c r="D24" s="1"/>
      <c r="E24" s="4">
        <f>pwtr()</f>
        <v>6.11657E-3</v>
      </c>
      <c r="F24" s="78" t="s">
        <v>121</v>
      </c>
      <c r="H24" s="1" t="s">
        <v>5</v>
      </c>
      <c r="I24" s="67" t="s">
        <v>103</v>
      </c>
    </row>
    <row r="25" spans="1:9" ht="15" customHeight="1" thickTop="1" thickBot="1" x14ac:dyDescent="0.3">
      <c r="A25" s="66"/>
      <c r="B25" s="1"/>
      <c r="D25" s="1"/>
      <c r="E25" s="3">
        <f>Twtr()</f>
        <v>273.16000000000003</v>
      </c>
      <c r="F25" s="78" t="s">
        <v>122</v>
      </c>
      <c r="H25" s="1" t="s">
        <v>14</v>
      </c>
      <c r="I25" s="67" t="s">
        <v>104</v>
      </c>
    </row>
    <row r="26" spans="1:9" ht="15" customHeight="1" thickTop="1" thickBot="1" x14ac:dyDescent="0.3">
      <c r="A26" s="66"/>
      <c r="B26" s="1"/>
      <c r="D26" s="1"/>
      <c r="E26" s="3">
        <f>Twcrit()</f>
        <v>647.096</v>
      </c>
      <c r="F26" s="78" t="s">
        <v>123</v>
      </c>
      <c r="H26" s="1" t="s">
        <v>14</v>
      </c>
      <c r="I26" s="67" t="s">
        <v>105</v>
      </c>
    </row>
    <row r="27" spans="1:9" ht="15" customHeight="1" thickTop="1" thickBot="1" x14ac:dyDescent="0.3">
      <c r="A27" s="66"/>
      <c r="B27" s="1"/>
      <c r="D27" s="1"/>
      <c r="E27" s="3">
        <f>PI()</f>
        <v>3.1415926535897931</v>
      </c>
      <c r="F27" s="78" t="s">
        <v>131</v>
      </c>
      <c r="H27" s="1"/>
      <c r="I27" s="67" t="s">
        <v>132</v>
      </c>
    </row>
    <row r="28" spans="1:9" ht="15" customHeight="1" thickTop="1" thickBot="1" x14ac:dyDescent="0.3">
      <c r="A28" s="66"/>
      <c r="B28" s="1"/>
      <c r="D28" s="1"/>
      <c r="E28" s="3">
        <f>Temperaturgradient()</f>
        <v>6.4999999999999997E-3</v>
      </c>
      <c r="F28" s="78" t="s">
        <v>140</v>
      </c>
      <c r="H28" s="81" t="s">
        <v>141</v>
      </c>
      <c r="I28" s="67" t="s">
        <v>142</v>
      </c>
    </row>
    <row r="29" spans="1:9" ht="16.5" thickTop="1" thickBot="1" x14ac:dyDescent="0.3">
      <c r="A29" s="70"/>
      <c r="B29" s="71"/>
      <c r="C29" s="71"/>
      <c r="D29" s="71"/>
      <c r="E29" s="71"/>
      <c r="F29" s="71"/>
      <c r="G29" s="71"/>
      <c r="H29" s="71"/>
      <c r="I29" s="72"/>
    </row>
    <row r="30" spans="1:9" ht="16.5" thickBot="1" x14ac:dyDescent="0.3">
      <c r="A30" s="66"/>
      <c r="B30" s="1"/>
      <c r="C30" s="1"/>
      <c r="D30" s="1"/>
      <c r="E30" s="1"/>
      <c r="F30" s="1"/>
      <c r="G30" s="1"/>
      <c r="H30" s="1"/>
      <c r="I30" s="228" t="s">
        <v>199</v>
      </c>
    </row>
    <row r="31" spans="1:9" ht="15" customHeight="1" x14ac:dyDescent="0.25">
      <c r="A31" s="63"/>
      <c r="B31" s="75"/>
      <c r="C31" s="75"/>
      <c r="D31" s="75"/>
      <c r="E31" s="75"/>
      <c r="F31" s="75"/>
      <c r="G31" s="75"/>
      <c r="H31" s="75"/>
      <c r="I31" s="65" t="s">
        <v>52</v>
      </c>
    </row>
    <row r="32" spans="1:9" ht="15" customHeight="1" thickBot="1" x14ac:dyDescent="0.3">
      <c r="A32" s="105">
        <v>1.01325</v>
      </c>
      <c r="B32" s="82" t="s">
        <v>5</v>
      </c>
      <c r="C32" s="105">
        <v>20</v>
      </c>
      <c r="D32" s="68" t="s">
        <v>1</v>
      </c>
      <c r="E32" s="105">
        <v>0.01</v>
      </c>
      <c r="F32" s="1" t="s">
        <v>9</v>
      </c>
      <c r="G32" s="6">
        <f>Enthalpie_p_t_x(A32,C32,E32)</f>
        <v>45.472999999999999</v>
      </c>
      <c r="H32" s="1" t="s">
        <v>17</v>
      </c>
      <c r="I32" s="227" t="s">
        <v>188</v>
      </c>
    </row>
    <row r="33" spans="1:16" ht="15" customHeight="1" thickTop="1" thickBot="1" x14ac:dyDescent="0.3">
      <c r="A33" s="66"/>
      <c r="B33" s="1"/>
      <c r="C33" s="105">
        <v>20</v>
      </c>
      <c r="D33" s="68" t="s">
        <v>1</v>
      </c>
      <c r="E33" s="105">
        <v>0.01</v>
      </c>
      <c r="F33" s="1" t="s">
        <v>9</v>
      </c>
      <c r="G33" s="6">
        <f>Enthalpie_t_x(C33,E33)</f>
        <v>45.472999999999999</v>
      </c>
      <c r="H33" s="1" t="s">
        <v>17</v>
      </c>
      <c r="I33" s="227" t="s">
        <v>189</v>
      </c>
    </row>
    <row r="34" spans="1:16" ht="15" customHeight="1" thickTop="1" thickBot="1" x14ac:dyDescent="0.3">
      <c r="A34" s="105">
        <v>1.01325</v>
      </c>
      <c r="B34" s="1" t="s">
        <v>5</v>
      </c>
      <c r="C34" s="105">
        <v>20</v>
      </c>
      <c r="D34" s="68" t="s">
        <v>1</v>
      </c>
      <c r="E34" s="106">
        <v>0.68</v>
      </c>
      <c r="F34" s="1"/>
      <c r="G34" s="6">
        <f>Enthalpie_p_t_phi(A34,C34,E34)</f>
        <v>45.27673420924426</v>
      </c>
      <c r="H34" s="1" t="s">
        <v>17</v>
      </c>
      <c r="I34" s="227" t="s">
        <v>190</v>
      </c>
      <c r="L34" s="50"/>
    </row>
    <row r="35" spans="1:16" ht="15" customHeight="1" thickTop="1" thickBot="1" x14ac:dyDescent="0.3">
      <c r="A35" s="70"/>
      <c r="B35" s="71"/>
      <c r="C35" s="71"/>
      <c r="D35" s="71"/>
      <c r="E35" s="71"/>
      <c r="F35" s="71"/>
      <c r="G35" s="71"/>
      <c r="H35" s="71"/>
      <c r="I35" s="72"/>
    </row>
    <row r="36" spans="1:16" ht="15" customHeight="1" x14ac:dyDescent="0.25">
      <c r="A36" s="63"/>
      <c r="B36" s="64"/>
      <c r="C36" s="64"/>
      <c r="D36" s="64"/>
      <c r="E36" s="64"/>
      <c r="F36" s="64"/>
      <c r="G36" s="64"/>
      <c r="H36" s="64"/>
      <c r="I36" s="65" t="s">
        <v>53</v>
      </c>
    </row>
    <row r="37" spans="1:16" ht="15" customHeight="1" thickBot="1" x14ac:dyDescent="0.3">
      <c r="A37" s="105">
        <v>1.01325</v>
      </c>
      <c r="B37" s="1" t="s">
        <v>5</v>
      </c>
      <c r="C37" s="105">
        <v>20</v>
      </c>
      <c r="D37" s="68" t="s">
        <v>1</v>
      </c>
      <c r="E37" s="106">
        <v>0.68</v>
      </c>
      <c r="F37" s="1"/>
      <c r="G37" s="11">
        <f>Wassergehalt_p_t_phi(A37,C37,E37)</f>
        <v>9.9226721599796151E-3</v>
      </c>
      <c r="H37" s="1" t="s">
        <v>9</v>
      </c>
      <c r="I37" s="227" t="s">
        <v>191</v>
      </c>
    </row>
    <row r="38" spans="1:16" ht="16.5" thickTop="1" thickBot="1" x14ac:dyDescent="0.3">
      <c r="A38" s="105">
        <v>1.01325</v>
      </c>
      <c r="B38" s="1" t="s">
        <v>5</v>
      </c>
      <c r="C38" s="105">
        <v>20</v>
      </c>
      <c r="D38" s="68" t="s">
        <v>1</v>
      </c>
      <c r="E38" s="1"/>
      <c r="F38" s="1"/>
      <c r="G38" s="11">
        <f>WassergehaltSaet_t_p(C38,A38)</f>
        <v>1.4702546172634808E-2</v>
      </c>
      <c r="H38" s="1" t="s">
        <v>9</v>
      </c>
      <c r="I38" s="227" t="s">
        <v>192</v>
      </c>
      <c r="N38" s="17"/>
      <c r="O38" s="17"/>
      <c r="P38" s="17"/>
    </row>
    <row r="39" spans="1:16" ht="16.5" thickTop="1" thickBot="1" x14ac:dyDescent="0.3">
      <c r="A39" s="66"/>
      <c r="B39" s="1"/>
      <c r="C39" s="107">
        <v>2.33989E-2</v>
      </c>
      <c r="D39" s="1" t="s">
        <v>5</v>
      </c>
      <c r="E39" s="106">
        <v>0.68</v>
      </c>
      <c r="F39" s="1"/>
      <c r="G39" s="11">
        <f>Wassergehalt_p_pws_phi(A49,C39,E39)</f>
        <v>9.9226731721155058E-3</v>
      </c>
      <c r="H39" s="1" t="s">
        <v>9</v>
      </c>
      <c r="I39" s="227" t="s">
        <v>193</v>
      </c>
    </row>
    <row r="40" spans="1:16" ht="16.5" thickTop="1" thickBot="1" x14ac:dyDescent="0.3">
      <c r="A40" s="105">
        <v>1.01325</v>
      </c>
      <c r="B40" s="1" t="s">
        <v>5</v>
      </c>
      <c r="C40" s="107">
        <v>2.33989E-2</v>
      </c>
      <c r="D40" s="1" t="s">
        <v>5</v>
      </c>
      <c r="E40" s="79"/>
      <c r="F40" s="1"/>
      <c r="G40" s="11">
        <f>WassergehaltSaet_p_pws(A40,C40)</f>
        <v>1.4702547683673401E-2</v>
      </c>
      <c r="H40" s="1" t="s">
        <v>9</v>
      </c>
      <c r="I40" s="227" t="s">
        <v>194</v>
      </c>
    </row>
    <row r="41" spans="1:16" ht="16.5" thickTop="1" thickBot="1" x14ac:dyDescent="0.3">
      <c r="A41" s="105">
        <v>1.01325</v>
      </c>
      <c r="B41" s="1" t="s">
        <v>5</v>
      </c>
      <c r="C41" s="105">
        <v>45</v>
      </c>
      <c r="D41" s="68" t="s">
        <v>17</v>
      </c>
      <c r="E41" s="106">
        <v>0.68</v>
      </c>
      <c r="F41" s="1"/>
      <c r="G41" s="11">
        <f>Wassergehalt_p_h_phi(A41,C41,E41)</f>
        <v>9.8567000000000047E-3</v>
      </c>
      <c r="H41" s="1" t="s">
        <v>9</v>
      </c>
      <c r="I41" s="227" t="s">
        <v>195</v>
      </c>
    </row>
    <row r="42" spans="1:16" ht="16.5" thickTop="1" thickBot="1" x14ac:dyDescent="0.3">
      <c r="A42" s="70"/>
      <c r="B42" s="71"/>
      <c r="C42" s="74"/>
      <c r="D42" s="71"/>
      <c r="E42" s="71"/>
      <c r="F42" s="71"/>
      <c r="G42" s="71"/>
      <c r="H42" s="71"/>
      <c r="I42" s="72"/>
    </row>
    <row r="43" spans="1:16" x14ac:dyDescent="0.25">
      <c r="A43" s="63"/>
      <c r="B43" s="64"/>
      <c r="C43" s="73"/>
      <c r="D43" s="64"/>
      <c r="E43" s="64"/>
      <c r="F43" s="64"/>
      <c r="G43" s="64"/>
      <c r="H43" s="64"/>
      <c r="I43" s="65" t="s">
        <v>54</v>
      </c>
    </row>
    <row r="44" spans="1:16" ht="15.75" thickBot="1" x14ac:dyDescent="0.3">
      <c r="A44" s="66"/>
      <c r="B44" s="1"/>
      <c r="C44" s="107">
        <v>2.33989E-2</v>
      </c>
      <c r="D44" s="1" t="s">
        <v>5</v>
      </c>
      <c r="E44" s="1"/>
      <c r="F44" s="1"/>
      <c r="G44" s="6">
        <f>Saettigungstemperatur_p(C44)</f>
        <v>20.000001621651315</v>
      </c>
      <c r="H44" s="1" t="s">
        <v>1</v>
      </c>
      <c r="I44" s="227" t="s">
        <v>196</v>
      </c>
    </row>
    <row r="45" spans="1:16" ht="16.5" thickTop="1" thickBot="1" x14ac:dyDescent="0.3">
      <c r="A45" s="66"/>
      <c r="B45" s="1"/>
      <c r="C45" s="105">
        <v>45.47</v>
      </c>
      <c r="D45" s="1" t="s">
        <v>17</v>
      </c>
      <c r="E45" s="105">
        <v>0.01</v>
      </c>
      <c r="F45" s="1" t="s">
        <v>9</v>
      </c>
      <c r="G45" s="6">
        <f>Temperatur_h_x(C45,E45)</f>
        <v>19.997068594879813</v>
      </c>
      <c r="H45" s="1" t="s">
        <v>1</v>
      </c>
      <c r="I45" s="227" t="s">
        <v>197</v>
      </c>
    </row>
    <row r="46" spans="1:16" ht="16.5" thickTop="1" thickBot="1" x14ac:dyDescent="0.3">
      <c r="A46" s="105">
        <v>1.01325</v>
      </c>
      <c r="B46" s="1"/>
      <c r="C46" s="105">
        <v>45.47</v>
      </c>
      <c r="D46" s="1" t="s">
        <v>17</v>
      </c>
      <c r="E46" s="106">
        <v>0.69</v>
      </c>
      <c r="F46" s="1"/>
      <c r="G46" s="6">
        <f>Temperatur_p_h_phi(A46,C46,E46)</f>
        <v>19.930499999999977</v>
      </c>
      <c r="H46" s="81" t="s">
        <v>1</v>
      </c>
      <c r="I46" s="227" t="s">
        <v>198</v>
      </c>
    </row>
    <row r="47" spans="1:16" ht="16.5" thickTop="1" thickBot="1" x14ac:dyDescent="0.3">
      <c r="A47" s="70"/>
      <c r="B47" s="71"/>
      <c r="C47" s="71"/>
      <c r="D47" s="71"/>
      <c r="E47" s="71"/>
      <c r="F47" s="71"/>
      <c r="G47" s="71"/>
      <c r="H47" s="71"/>
      <c r="I47" s="72"/>
    </row>
    <row r="48" spans="1:16" x14ac:dyDescent="0.25">
      <c r="A48" s="63"/>
      <c r="B48" s="64"/>
      <c r="C48" s="64"/>
      <c r="D48" s="64"/>
      <c r="E48" s="64"/>
      <c r="F48" s="64"/>
      <c r="G48" s="64"/>
      <c r="H48" s="64"/>
      <c r="I48" s="65" t="s">
        <v>55</v>
      </c>
    </row>
    <row r="49" spans="1:9" ht="15.75" thickBot="1" x14ac:dyDescent="0.3">
      <c r="A49" s="105">
        <v>1.01325</v>
      </c>
      <c r="B49" s="1" t="s">
        <v>5</v>
      </c>
      <c r="C49" s="1"/>
      <c r="D49" s="1"/>
      <c r="E49" s="105">
        <v>0.01</v>
      </c>
      <c r="F49" s="1" t="s">
        <v>9</v>
      </c>
      <c r="G49" s="11">
        <f>PartialdruckWasser_p_x(A49,E49)</f>
        <v>1.6033285424520993E-2</v>
      </c>
      <c r="H49" s="1" t="s">
        <v>5</v>
      </c>
      <c r="I49" s="227" t="s">
        <v>200</v>
      </c>
    </row>
    <row r="50" spans="1:9" ht="16.5" thickTop="1" thickBot="1" x14ac:dyDescent="0.3">
      <c r="A50" s="105">
        <v>1.01325</v>
      </c>
      <c r="B50" s="1" t="s">
        <v>5</v>
      </c>
      <c r="C50" s="1"/>
      <c r="D50" s="1"/>
      <c r="E50" s="105">
        <v>0.01</v>
      </c>
      <c r="F50" s="1" t="s">
        <v>9</v>
      </c>
      <c r="G50" s="11">
        <f>PartialdruckLuft_p_x(A50,E50)</f>
        <v>0.997216714575479</v>
      </c>
      <c r="H50" s="1" t="s">
        <v>5</v>
      </c>
      <c r="I50" s="227" t="s">
        <v>201</v>
      </c>
    </row>
    <row r="51" spans="1:9" ht="16.5" thickTop="1" thickBot="1" x14ac:dyDescent="0.3">
      <c r="A51" s="69"/>
      <c r="B51" s="12"/>
      <c r="C51" s="105">
        <v>20</v>
      </c>
      <c r="D51" s="68" t="s">
        <v>1</v>
      </c>
      <c r="E51" s="1"/>
      <c r="F51" s="1"/>
      <c r="G51" s="11">
        <f>Saettigungsdruck_t(C51)</f>
        <v>2.3398897650736886E-2</v>
      </c>
      <c r="H51" s="1" t="s">
        <v>5</v>
      </c>
      <c r="I51" s="227" t="s">
        <v>202</v>
      </c>
    </row>
    <row r="52" spans="1:9" ht="16.5" thickTop="1" thickBot="1" x14ac:dyDescent="0.3">
      <c r="A52" s="105">
        <v>1.01325</v>
      </c>
      <c r="B52" s="1" t="s">
        <v>5</v>
      </c>
      <c r="C52" s="105">
        <v>20</v>
      </c>
      <c r="D52" s="68" t="s">
        <v>1</v>
      </c>
      <c r="E52" s="105">
        <v>16.079999999999998</v>
      </c>
      <c r="F52" s="82" t="s">
        <v>1</v>
      </c>
      <c r="G52" s="11">
        <f>DampfDruckPsychrometer_p_t_tfk(A52,C58,E58)</f>
        <v>1.5617543699314722E-2</v>
      </c>
      <c r="H52" s="81" t="s">
        <v>5</v>
      </c>
      <c r="I52" s="227" t="s">
        <v>203</v>
      </c>
    </row>
    <row r="53" spans="1:9" ht="16.5" thickTop="1" thickBot="1" x14ac:dyDescent="0.3">
      <c r="A53" s="70"/>
      <c r="B53" s="71"/>
      <c r="C53" s="71"/>
      <c r="D53" s="71"/>
      <c r="E53" s="71"/>
      <c r="F53" s="114"/>
      <c r="G53" s="71"/>
      <c r="H53" s="71"/>
      <c r="I53" s="72"/>
    </row>
    <row r="54" spans="1:9" x14ac:dyDescent="0.25">
      <c r="A54" s="63"/>
      <c r="B54" s="64"/>
      <c r="C54" s="75"/>
      <c r="D54" s="75"/>
      <c r="E54" s="75"/>
      <c r="F54" s="115"/>
      <c r="G54" s="64"/>
      <c r="H54" s="64"/>
      <c r="I54" s="65" t="s">
        <v>56</v>
      </c>
    </row>
    <row r="55" spans="1:9" ht="15.75" thickBot="1" x14ac:dyDescent="0.3">
      <c r="A55" s="105">
        <v>1.01325</v>
      </c>
      <c r="B55" s="1" t="s">
        <v>5</v>
      </c>
      <c r="C55" s="107">
        <v>2.3398897650736886E-2</v>
      </c>
      <c r="D55" s="1" t="s">
        <v>5</v>
      </c>
      <c r="E55" s="105">
        <v>0.01</v>
      </c>
      <c r="F55" s="82" t="s">
        <v>9</v>
      </c>
      <c r="G55" s="8">
        <f>RelativeFeuchte_p_x_pws(A55,E55,C55)</f>
        <v>0.68521541757400128</v>
      </c>
      <c r="H55" s="1"/>
      <c r="I55" s="227" t="s">
        <v>204</v>
      </c>
    </row>
    <row r="56" spans="1:9" ht="16.5" thickTop="1" thickBot="1" x14ac:dyDescent="0.3">
      <c r="A56" s="105">
        <v>1.01325</v>
      </c>
      <c r="B56" s="1" t="s">
        <v>5</v>
      </c>
      <c r="C56" s="105">
        <v>20</v>
      </c>
      <c r="D56" s="68" t="s">
        <v>1</v>
      </c>
      <c r="E56" s="105">
        <v>0.01</v>
      </c>
      <c r="F56" s="82" t="s">
        <v>9</v>
      </c>
      <c r="G56" s="8">
        <f>RelativeFeuchte_p_t_x(A56,C56,E56)</f>
        <v>0.68521541757400128</v>
      </c>
      <c r="H56" s="1"/>
      <c r="I56" s="227" t="s">
        <v>205</v>
      </c>
    </row>
    <row r="57" spans="1:9" ht="16.5" thickTop="1" thickBot="1" x14ac:dyDescent="0.3">
      <c r="A57" s="66"/>
      <c r="B57" s="1"/>
      <c r="C57" s="105">
        <v>20</v>
      </c>
      <c r="D57" s="68" t="s">
        <v>1</v>
      </c>
      <c r="E57" s="105">
        <v>13.8</v>
      </c>
      <c r="F57" s="82" t="s">
        <v>1</v>
      </c>
      <c r="G57" s="8">
        <f>RelativeFeuchte_t_tTaup(C57,E57)</f>
        <v>0.67480541055940524</v>
      </c>
      <c r="H57" s="1"/>
      <c r="I57" s="227" t="s">
        <v>206</v>
      </c>
    </row>
    <row r="58" spans="1:9" ht="16.5" thickTop="1" thickBot="1" x14ac:dyDescent="0.3">
      <c r="A58" s="105">
        <v>1.01325</v>
      </c>
      <c r="B58" s="1" t="s">
        <v>5</v>
      </c>
      <c r="C58" s="105">
        <v>20</v>
      </c>
      <c r="D58" s="68" t="s">
        <v>1</v>
      </c>
      <c r="E58" s="105">
        <v>16.079999999999998</v>
      </c>
      <c r="F58" s="82" t="s">
        <v>1</v>
      </c>
      <c r="G58" s="8">
        <f>RelativeFeuchte_p_t_tfk(A58,C58,E58)</f>
        <v>0.67496563815284161</v>
      </c>
      <c r="H58" s="1"/>
      <c r="I58" s="227" t="s">
        <v>207</v>
      </c>
    </row>
    <row r="59" spans="1:9" ht="16.5" thickTop="1" thickBot="1" x14ac:dyDescent="0.3">
      <c r="A59" s="70"/>
      <c r="B59" s="71"/>
      <c r="C59" s="71"/>
      <c r="D59" s="71"/>
      <c r="E59" s="71"/>
      <c r="F59" s="71"/>
      <c r="G59" s="71"/>
      <c r="H59" s="71"/>
      <c r="I59" s="72"/>
    </row>
    <row r="60" spans="1:9" x14ac:dyDescent="0.25">
      <c r="A60" s="63"/>
      <c r="B60" s="64"/>
      <c r="C60" s="64"/>
      <c r="D60" s="64"/>
      <c r="E60" s="64"/>
      <c r="F60" s="64"/>
      <c r="G60" s="64"/>
      <c r="H60" s="64"/>
      <c r="I60" s="65" t="s">
        <v>57</v>
      </c>
    </row>
    <row r="61" spans="1:9" ht="15.75" thickBot="1" x14ac:dyDescent="0.3">
      <c r="A61" s="105">
        <v>1.01325</v>
      </c>
      <c r="B61" s="1" t="s">
        <v>5</v>
      </c>
      <c r="C61" s="105">
        <v>20</v>
      </c>
      <c r="D61" s="68" t="s">
        <v>1</v>
      </c>
      <c r="E61" s="106">
        <v>0.67500000000000004</v>
      </c>
      <c r="F61" s="1"/>
      <c r="G61" s="6">
        <f>FeuchtkugelTemp_p_t_phi(A61,C61,E61)</f>
        <v>16.081099999999992</v>
      </c>
      <c r="H61" s="1" t="s">
        <v>1</v>
      </c>
      <c r="I61" s="227" t="s">
        <v>208</v>
      </c>
    </row>
    <row r="62" spans="1:9" ht="16.5" thickTop="1" thickBot="1" x14ac:dyDescent="0.3">
      <c r="A62" s="70"/>
      <c r="B62" s="71"/>
      <c r="C62" s="71"/>
      <c r="D62" s="71"/>
      <c r="E62" s="71"/>
      <c r="F62" s="71"/>
      <c r="G62" s="71"/>
      <c r="H62" s="71"/>
      <c r="I62" s="72"/>
    </row>
    <row r="63" spans="1:9" x14ac:dyDescent="0.25">
      <c r="A63" s="63"/>
      <c r="B63" s="64"/>
      <c r="C63" s="64"/>
      <c r="D63" s="64"/>
      <c r="E63" s="64"/>
      <c r="F63" s="64"/>
      <c r="G63" s="64"/>
      <c r="H63" s="64"/>
      <c r="I63" s="65" t="s">
        <v>58</v>
      </c>
    </row>
    <row r="64" spans="1:9" ht="15.75" thickBot="1" x14ac:dyDescent="0.3">
      <c r="A64" s="105">
        <v>1.01325</v>
      </c>
      <c r="B64" s="1" t="s">
        <v>5</v>
      </c>
      <c r="C64" s="105">
        <v>20</v>
      </c>
      <c r="D64" s="68" t="s">
        <v>1</v>
      </c>
      <c r="E64" s="107">
        <v>1.6033285424520993E-2</v>
      </c>
      <c r="F64" s="1" t="s">
        <v>5</v>
      </c>
      <c r="G64" s="11">
        <f>Dichte_p_t_pw(A64,C64,E64)</f>
        <v>1.1969154508062216</v>
      </c>
      <c r="H64" s="1" t="s">
        <v>12</v>
      </c>
      <c r="I64" s="227" t="s">
        <v>209</v>
      </c>
    </row>
    <row r="65" spans="1:9" ht="16.5" thickTop="1" thickBot="1" x14ac:dyDescent="0.3">
      <c r="A65" s="105">
        <v>1.01325</v>
      </c>
      <c r="B65" s="1" t="s">
        <v>5</v>
      </c>
      <c r="C65" s="105">
        <v>20</v>
      </c>
      <c r="D65" s="68" t="s">
        <v>1</v>
      </c>
      <c r="E65" s="105">
        <v>0.01</v>
      </c>
      <c r="F65" s="1" t="s">
        <v>9</v>
      </c>
      <c r="G65" s="11">
        <f>Dichte_p_t_x(A65,C65,E65)</f>
        <v>1.1969154508062216</v>
      </c>
      <c r="H65" s="1" t="s">
        <v>12</v>
      </c>
      <c r="I65" s="227" t="s">
        <v>210</v>
      </c>
    </row>
    <row r="66" spans="1:9" ht="16.5" thickTop="1" thickBot="1" x14ac:dyDescent="0.3">
      <c r="A66" s="105">
        <v>1.01325</v>
      </c>
      <c r="B66" s="1" t="s">
        <v>5</v>
      </c>
      <c r="C66" s="105">
        <v>20</v>
      </c>
      <c r="D66" s="68" t="s">
        <v>1</v>
      </c>
      <c r="E66" s="106">
        <v>0.67500000000000004</v>
      </c>
      <c r="F66" s="1"/>
      <c r="G66" s="11">
        <f>Dichte_p_t_phi(A66,C66,E66)</f>
        <v>1.1970228335031419</v>
      </c>
      <c r="H66" s="1" t="s">
        <v>12</v>
      </c>
      <c r="I66" s="227" t="s">
        <v>211</v>
      </c>
    </row>
    <row r="67" spans="1:9" ht="16.5" thickTop="1" thickBot="1" x14ac:dyDescent="0.3">
      <c r="A67" s="105">
        <v>1.01325</v>
      </c>
      <c r="B67" s="1" t="s">
        <v>5</v>
      </c>
      <c r="C67" s="105">
        <v>20</v>
      </c>
      <c r="D67" s="68" t="s">
        <v>1</v>
      </c>
      <c r="E67" s="110">
        <v>288.75200000000001</v>
      </c>
      <c r="F67" s="1"/>
      <c r="G67" s="97">
        <f>Dichte_p_t_R(A67,C67,E67)</f>
        <v>1.1970208438914136</v>
      </c>
      <c r="H67" s="1"/>
      <c r="I67" s="229" t="s">
        <v>212</v>
      </c>
    </row>
    <row r="68" spans="1:9" ht="16.5" thickTop="1" thickBot="1" x14ac:dyDescent="0.3">
      <c r="A68" s="105">
        <v>1.01325</v>
      </c>
      <c r="B68" s="1" t="s">
        <v>5</v>
      </c>
      <c r="C68" s="107">
        <v>2.3398897650736886E-2</v>
      </c>
      <c r="D68" s="1" t="s">
        <v>5</v>
      </c>
      <c r="E68" s="106">
        <v>0.67500000000000004</v>
      </c>
      <c r="F68" s="1"/>
      <c r="G68" s="51">
        <f>R_p_pws_phi(A68,C68,E68)</f>
        <v>288.75152005563325</v>
      </c>
      <c r="H68" s="81" t="s">
        <v>136</v>
      </c>
      <c r="I68" s="227" t="s">
        <v>213</v>
      </c>
    </row>
    <row r="69" spans="1:9" ht="16.5" thickTop="1" thickBot="1" x14ac:dyDescent="0.3">
      <c r="A69" s="66"/>
      <c r="B69" s="1"/>
      <c r="C69" s="1"/>
      <c r="D69" s="1"/>
      <c r="E69" s="1"/>
      <c r="F69" s="1"/>
      <c r="G69" s="1"/>
      <c r="H69" s="1"/>
      <c r="I69" s="67"/>
    </row>
    <row r="70" spans="1:9" x14ac:dyDescent="0.25">
      <c r="A70" s="63"/>
      <c r="B70" s="64"/>
      <c r="C70" s="64"/>
      <c r="D70" s="64"/>
      <c r="E70" s="64"/>
      <c r="F70" s="64"/>
      <c r="G70" s="64"/>
      <c r="H70" s="64"/>
      <c r="I70" s="65" t="s">
        <v>124</v>
      </c>
    </row>
    <row r="71" spans="1:9" ht="15.75" thickBot="1" x14ac:dyDescent="0.3">
      <c r="A71" s="105">
        <v>0.6</v>
      </c>
      <c r="B71" s="94" t="s">
        <v>84</v>
      </c>
      <c r="C71" s="105">
        <f>G76</f>
        <v>1.5349467772400003E-5</v>
      </c>
      <c r="D71" s="1" t="s">
        <v>93</v>
      </c>
      <c r="E71" s="109">
        <v>10</v>
      </c>
      <c r="F71" t="s">
        <v>24</v>
      </c>
      <c r="G71" s="95">
        <f>Reynolds_d_nue_w(A71,C71,E71)</f>
        <v>390893.03218634374</v>
      </c>
      <c r="H71" s="1"/>
      <c r="I71" s="227" t="s">
        <v>214</v>
      </c>
    </row>
    <row r="72" spans="1:9" ht="16.5" thickTop="1" thickBot="1" x14ac:dyDescent="0.3">
      <c r="A72" s="105">
        <v>0.6</v>
      </c>
      <c r="B72" s="94" t="s">
        <v>84</v>
      </c>
      <c r="C72" s="105">
        <f>G77</f>
        <v>1.8237404245440001E-5</v>
      </c>
      <c r="D72" s="81" t="s">
        <v>78</v>
      </c>
      <c r="E72" s="109">
        <v>10</v>
      </c>
      <c r="F72" s="1" t="s">
        <v>24</v>
      </c>
      <c r="G72" s="56">
        <f>Reynolds_di_eta_rho_w(A72,C72,G64,E72)</f>
        <v>393778.22677988606</v>
      </c>
      <c r="H72" s="1"/>
      <c r="I72" s="227" t="s">
        <v>215</v>
      </c>
    </row>
    <row r="73" spans="1:9" ht="16.5" thickTop="1" thickBot="1" x14ac:dyDescent="0.3">
      <c r="A73" s="66"/>
      <c r="B73" s="1"/>
      <c r="C73" s="105">
        <v>0</v>
      </c>
      <c r="D73" s="68" t="s">
        <v>1</v>
      </c>
      <c r="E73" s="1"/>
      <c r="F73" s="1"/>
      <c r="G73" s="53">
        <f>Prandtl_t(C73)</f>
        <v>0.71789000000000003</v>
      </c>
      <c r="H73" s="1"/>
      <c r="I73" s="227" t="s">
        <v>216</v>
      </c>
    </row>
    <row r="74" spans="1:9" ht="16.5" thickTop="1" thickBot="1" x14ac:dyDescent="0.3">
      <c r="A74" s="70"/>
      <c r="B74" s="71"/>
      <c r="C74" s="71"/>
      <c r="D74" s="71"/>
      <c r="E74" s="71"/>
      <c r="F74" s="71"/>
      <c r="G74" s="71"/>
      <c r="H74" s="71"/>
      <c r="I74" s="80"/>
    </row>
    <row r="75" spans="1:9" x14ac:dyDescent="0.25">
      <c r="A75" s="63"/>
      <c r="B75" s="64"/>
      <c r="C75" s="64"/>
      <c r="D75" s="64"/>
      <c r="E75" s="64"/>
      <c r="F75" s="64"/>
      <c r="G75" s="64"/>
      <c r="H75" s="64"/>
      <c r="I75" s="65" t="s">
        <v>59</v>
      </c>
    </row>
    <row r="76" spans="1:9" ht="15.75" thickBot="1" x14ac:dyDescent="0.3">
      <c r="A76" s="66"/>
      <c r="B76" s="1"/>
      <c r="C76" s="105">
        <v>20</v>
      </c>
      <c r="D76" s="68" t="s">
        <v>1</v>
      </c>
      <c r="E76" s="1"/>
      <c r="F76" s="1"/>
      <c r="G76" s="3">
        <f>ViskositaetKin_t(C76)</f>
        <v>1.5349467772400003E-5</v>
      </c>
      <c r="H76" s="1" t="s">
        <v>93</v>
      </c>
      <c r="I76" s="227" t="s">
        <v>217</v>
      </c>
    </row>
    <row r="77" spans="1:9" ht="16.5" thickTop="1" thickBot="1" x14ac:dyDescent="0.3">
      <c r="A77" s="66"/>
      <c r="B77" s="1"/>
      <c r="C77" s="105">
        <v>20</v>
      </c>
      <c r="D77" s="68" t="s">
        <v>1</v>
      </c>
      <c r="E77" s="1"/>
      <c r="F77" s="1"/>
      <c r="G77" s="3">
        <f>ViskositaetDyn_t(C77)</f>
        <v>1.8237404245440001E-5</v>
      </c>
      <c r="H77" s="1" t="s">
        <v>78</v>
      </c>
      <c r="I77" s="227" t="s">
        <v>218</v>
      </c>
    </row>
    <row r="78" spans="1:9" ht="16.5" thickTop="1" thickBot="1" x14ac:dyDescent="0.3">
      <c r="A78" s="70"/>
      <c r="B78" s="71"/>
      <c r="C78" s="71"/>
      <c r="D78" s="71"/>
      <c r="E78" s="71"/>
      <c r="F78" s="71"/>
      <c r="G78" s="71"/>
      <c r="H78" s="71"/>
      <c r="I78" s="72"/>
    </row>
    <row r="79" spans="1:9" x14ac:dyDescent="0.25">
      <c r="A79" s="63"/>
      <c r="B79" s="64"/>
      <c r="C79" s="64"/>
      <c r="D79" s="64"/>
      <c r="E79" s="64"/>
      <c r="F79" s="64"/>
      <c r="G79" s="64"/>
      <c r="H79" s="64"/>
      <c r="I79" s="65" t="s">
        <v>60</v>
      </c>
    </row>
    <row r="80" spans="1:9" ht="15.75" thickBot="1" x14ac:dyDescent="0.3">
      <c r="A80" s="66"/>
      <c r="B80" s="1"/>
      <c r="C80" s="105">
        <v>20</v>
      </c>
      <c r="D80" s="68" t="s">
        <v>1</v>
      </c>
      <c r="E80" s="1"/>
      <c r="F80" s="1"/>
      <c r="G80" s="11">
        <f>Waermeleitfaehigkeit_t(C80)</f>
        <v>2.5686689175120004E-2</v>
      </c>
      <c r="H80" s="1" t="s">
        <v>125</v>
      </c>
      <c r="I80" s="227" t="s">
        <v>219</v>
      </c>
    </row>
    <row r="81" spans="1:12" ht="16.5" thickTop="1" thickBot="1" x14ac:dyDescent="0.3">
      <c r="A81" s="70"/>
      <c r="B81" s="71"/>
      <c r="C81" s="71"/>
      <c r="D81" s="71"/>
      <c r="E81" s="71"/>
      <c r="F81" s="71"/>
      <c r="G81" s="71"/>
      <c r="H81" s="71"/>
      <c r="I81" s="80"/>
    </row>
    <row r="82" spans="1:12" x14ac:dyDescent="0.25">
      <c r="A82" s="63"/>
      <c r="B82" s="64"/>
      <c r="C82" s="64"/>
      <c r="D82" s="64"/>
      <c r="E82" s="64"/>
      <c r="F82" s="64"/>
      <c r="G82" s="64"/>
      <c r="H82" s="64"/>
      <c r="I82" s="65" t="s">
        <v>61</v>
      </c>
    </row>
    <row r="83" spans="1:12" ht="15.75" thickBot="1" x14ac:dyDescent="0.3">
      <c r="A83" s="105">
        <v>390000</v>
      </c>
      <c r="B83" s="1"/>
      <c r="C83" s="105">
        <v>1.5E-5</v>
      </c>
      <c r="D83" s="1" t="s">
        <v>84</v>
      </c>
      <c r="E83" s="105">
        <v>0.6</v>
      </c>
      <c r="F83" s="1" t="s">
        <v>84</v>
      </c>
      <c r="G83" s="85">
        <f>RohrReibungszahl(A83,C83,E83)</f>
        <v>1.4073926956889049E-2</v>
      </c>
      <c r="H83" s="1"/>
      <c r="I83" s="227" t="s">
        <v>220</v>
      </c>
    </row>
    <row r="84" spans="1:12" ht="16.5" thickTop="1" thickBot="1" x14ac:dyDescent="0.3">
      <c r="A84" s="105">
        <v>390000</v>
      </c>
      <c r="B84" s="1"/>
      <c r="C84" s="105">
        <v>1.5E-5</v>
      </c>
      <c r="D84" s="1" t="s">
        <v>84</v>
      </c>
      <c r="E84" s="105">
        <v>0.6</v>
      </c>
      <c r="F84" s="1" t="s">
        <v>84</v>
      </c>
      <c r="G84" s="85">
        <f>RohrReibungszahlDC(A84,C84,E84)</f>
        <v>1.4074703311598038E-2</v>
      </c>
      <c r="H84" s="1"/>
      <c r="I84" s="227" t="s">
        <v>221</v>
      </c>
    </row>
    <row r="85" spans="1:12" ht="16.5" thickTop="1" thickBot="1" x14ac:dyDescent="0.3">
      <c r="A85" s="70"/>
      <c r="B85" s="71"/>
      <c r="C85" s="71"/>
      <c r="D85" s="71"/>
      <c r="E85" s="71"/>
      <c r="F85" s="71"/>
      <c r="G85" s="71"/>
      <c r="H85" s="71"/>
      <c r="I85" s="72"/>
    </row>
    <row r="86" spans="1:12" x14ac:dyDescent="0.25">
      <c r="A86" s="63"/>
      <c r="B86" s="64"/>
      <c r="C86" s="64"/>
      <c r="D86" s="64"/>
      <c r="E86" s="64"/>
      <c r="F86" s="64"/>
      <c r="G86" s="64"/>
      <c r="H86" s="64"/>
      <c r="I86" s="65" t="s">
        <v>62</v>
      </c>
    </row>
    <row r="87" spans="1:12" x14ac:dyDescent="0.25">
      <c r="A87" s="108">
        <f>G83</f>
        <v>1.4073926956889049E-2</v>
      </c>
      <c r="B87" s="1" t="s">
        <v>137</v>
      </c>
      <c r="C87" s="105">
        <v>1</v>
      </c>
      <c r="D87" s="1" t="s">
        <v>84</v>
      </c>
      <c r="E87" s="105">
        <v>0.6</v>
      </c>
      <c r="F87" s="1" t="s">
        <v>84</v>
      </c>
      <c r="G87" s="1"/>
      <c r="H87" s="1"/>
      <c r="I87" s="77"/>
    </row>
    <row r="88" spans="1:12" ht="15.75" thickBot="1" x14ac:dyDescent="0.3">
      <c r="A88" s="107">
        <f>G64</f>
        <v>1.1969154508062216</v>
      </c>
      <c r="B88" s="1" t="s">
        <v>12</v>
      </c>
      <c r="C88" s="109">
        <v>10</v>
      </c>
      <c r="D88" s="81" t="s">
        <v>24</v>
      </c>
      <c r="E88" s="1"/>
      <c r="F88" s="1"/>
      <c r="G88" s="6">
        <f>DeltaP(A87,C87,E87,A88,C88)</f>
        <v>1.4037750523515578</v>
      </c>
      <c r="H88" s="1" t="s">
        <v>6</v>
      </c>
      <c r="I88" s="227" t="s">
        <v>222</v>
      </c>
    </row>
    <row r="89" spans="1:12" ht="16.5" thickTop="1" thickBot="1" x14ac:dyDescent="0.3">
      <c r="A89" s="70"/>
      <c r="B89" s="71"/>
      <c r="C89" s="71"/>
      <c r="D89" s="71"/>
      <c r="E89" s="71"/>
      <c r="F89" s="71"/>
      <c r="G89" s="71"/>
      <c r="H89" s="71"/>
      <c r="I89" s="72"/>
    </row>
    <row r="90" spans="1:12" x14ac:dyDescent="0.25">
      <c r="A90" s="63"/>
      <c r="B90" s="64"/>
      <c r="C90" s="64"/>
      <c r="D90" s="64"/>
      <c r="E90" s="64"/>
      <c r="F90" s="64"/>
      <c r="G90" s="64"/>
      <c r="H90" s="64"/>
      <c r="I90" s="65" t="s">
        <v>63</v>
      </c>
    </row>
    <row r="91" spans="1:12" ht="15.75" thickBot="1" x14ac:dyDescent="0.3">
      <c r="A91" s="66"/>
      <c r="B91" s="1"/>
      <c r="C91" s="105">
        <v>1.6033285424520993E-2</v>
      </c>
      <c r="D91" s="68" t="s">
        <v>5</v>
      </c>
      <c r="E91" s="1"/>
      <c r="F91" s="1"/>
      <c r="G91" s="6">
        <f>Taupunkttemperatur(C91)</f>
        <v>14.035720430996617</v>
      </c>
      <c r="H91" s="1" t="s">
        <v>1</v>
      </c>
      <c r="I91" s="227" t="s">
        <v>223</v>
      </c>
    </row>
    <row r="92" spans="1:12" ht="16.5" thickTop="1" thickBot="1" x14ac:dyDescent="0.3">
      <c r="A92" s="70"/>
      <c r="B92" s="71"/>
      <c r="C92" s="71"/>
      <c r="D92" s="71"/>
      <c r="E92" s="71"/>
      <c r="F92" s="71"/>
      <c r="G92" s="71"/>
      <c r="H92" s="71"/>
      <c r="I92" s="72"/>
    </row>
    <row r="93" spans="1:12" x14ac:dyDescent="0.25">
      <c r="A93" s="63"/>
      <c r="B93" s="64"/>
      <c r="C93" s="64"/>
      <c r="D93" s="64"/>
      <c r="E93" s="64"/>
      <c r="F93" s="64"/>
      <c r="G93" s="64"/>
      <c r="H93" s="64"/>
      <c r="I93" s="65" t="s">
        <v>64</v>
      </c>
    </row>
    <row r="94" spans="1:12" ht="15.75" thickBot="1" x14ac:dyDescent="0.3">
      <c r="A94" s="66"/>
      <c r="B94" s="1"/>
      <c r="C94" s="105">
        <v>20</v>
      </c>
      <c r="D94" s="68" t="s">
        <v>1</v>
      </c>
      <c r="E94" s="1"/>
      <c r="F94" s="1"/>
      <c r="G94" s="52">
        <f>WaermekapLuft_t(C94)</f>
        <v>1.0067956266639999</v>
      </c>
      <c r="H94" s="1" t="s">
        <v>126</v>
      </c>
      <c r="I94" s="227" t="s">
        <v>224</v>
      </c>
      <c r="L94" s="50"/>
    </row>
    <row r="95" spans="1:12" ht="16.5" thickTop="1" thickBot="1" x14ac:dyDescent="0.3">
      <c r="A95" s="66"/>
      <c r="B95" s="1"/>
      <c r="C95" s="105">
        <v>20</v>
      </c>
      <c r="D95" s="68" t="s">
        <v>1</v>
      </c>
      <c r="E95" s="1"/>
      <c r="F95" s="1"/>
      <c r="G95" s="52">
        <f>WaermekapDampf_t(C95)</f>
        <v>1.8751179603999999</v>
      </c>
      <c r="H95" s="1" t="s">
        <v>126</v>
      </c>
      <c r="I95" s="227" t="s">
        <v>225</v>
      </c>
      <c r="L95" s="50"/>
    </row>
    <row r="96" spans="1:12" s="90" customFormat="1" ht="16.5" thickTop="1" thickBot="1" x14ac:dyDescent="0.3">
      <c r="A96" s="91"/>
      <c r="B96" s="92"/>
      <c r="C96" s="92"/>
      <c r="D96" s="92"/>
      <c r="E96" s="92"/>
      <c r="F96" s="92"/>
      <c r="G96" s="92"/>
      <c r="H96" s="92"/>
      <c r="I96" s="93"/>
    </row>
    <row r="97" spans="1:12" x14ac:dyDescent="0.25">
      <c r="A97" s="63"/>
      <c r="B97" s="64"/>
      <c r="C97" s="64"/>
      <c r="D97" s="64"/>
      <c r="E97" s="64"/>
      <c r="F97" s="64"/>
      <c r="G97" s="64"/>
      <c r="H97" s="64"/>
      <c r="I97" s="65" t="s">
        <v>65</v>
      </c>
    </row>
    <row r="98" spans="1:12" ht="15.75" thickBot="1" x14ac:dyDescent="0.3">
      <c r="A98" s="111">
        <v>700</v>
      </c>
      <c r="B98" s="1" t="s">
        <v>84</v>
      </c>
      <c r="C98" s="106">
        <v>0.8</v>
      </c>
      <c r="D98" s="23"/>
      <c r="E98" s="111">
        <v>10</v>
      </c>
      <c r="F98" s="1" t="s">
        <v>1</v>
      </c>
      <c r="G98" s="11">
        <f>Barometerdruck(A98,C98,E98)</f>
        <v>0.93148971723774521</v>
      </c>
      <c r="H98" s="1" t="s">
        <v>5</v>
      </c>
      <c r="I98" s="227" t="s">
        <v>226</v>
      </c>
      <c r="L98" s="50"/>
    </row>
    <row r="99" spans="1:12" ht="16.5" thickTop="1" thickBot="1" x14ac:dyDescent="0.3">
      <c r="A99" s="111">
        <v>1.01325</v>
      </c>
      <c r="B99" s="88" t="s">
        <v>5</v>
      </c>
      <c r="C99" s="111">
        <v>10000</v>
      </c>
      <c r="D99" s="1" t="s">
        <v>84</v>
      </c>
      <c r="E99" s="111">
        <v>15</v>
      </c>
      <c r="F99" s="1" t="s">
        <v>1</v>
      </c>
      <c r="G99" s="11">
        <f>DruckBHFormel_p_h_t(A99,C99,E99)</f>
        <v>0.26442189107344877</v>
      </c>
      <c r="H99" s="1" t="s">
        <v>5</v>
      </c>
      <c r="I99" s="227" t="s">
        <v>227</v>
      </c>
      <c r="L99" s="50"/>
    </row>
    <row r="100" spans="1:12" ht="16.5" thickTop="1" thickBot="1" x14ac:dyDescent="0.3">
      <c r="A100" s="70"/>
      <c r="B100" s="71"/>
      <c r="C100" s="71"/>
      <c r="D100" s="71"/>
      <c r="E100" s="71"/>
      <c r="F100" s="71"/>
      <c r="G100" s="71"/>
      <c r="H100" s="71"/>
      <c r="I100" s="72"/>
    </row>
    <row r="101" spans="1:12" x14ac:dyDescent="0.25">
      <c r="A101" s="63"/>
      <c r="B101" s="64"/>
      <c r="C101" s="64"/>
      <c r="D101" s="64"/>
      <c r="E101" s="64"/>
      <c r="F101" s="64"/>
      <c r="G101" s="64"/>
      <c r="H101" s="64"/>
      <c r="I101" s="65" t="s">
        <v>72</v>
      </c>
    </row>
    <row r="102" spans="1:12" ht="15.75" thickBot="1" x14ac:dyDescent="0.3">
      <c r="A102" s="105">
        <v>10000</v>
      </c>
      <c r="B102" s="1" t="s">
        <v>74</v>
      </c>
      <c r="C102" s="107">
        <v>0.89600000000000002</v>
      </c>
      <c r="D102" s="1" t="s">
        <v>12</v>
      </c>
      <c r="E102" s="105">
        <v>1.31E-3</v>
      </c>
      <c r="F102" s="1" t="s">
        <v>9</v>
      </c>
      <c r="G102" s="6">
        <f>mstromtrocken(A102,C102,E102)</f>
        <v>8948.2777561394578</v>
      </c>
      <c r="H102" s="1" t="s">
        <v>44</v>
      </c>
      <c r="I102" s="227" t="s">
        <v>228</v>
      </c>
      <c r="K102" s="15"/>
    </row>
    <row r="103" spans="1:12" ht="16.5" thickTop="1" thickBot="1" x14ac:dyDescent="0.3">
      <c r="A103" s="112">
        <f>G102</f>
        <v>8948.2777561394578</v>
      </c>
      <c r="B103" s="1" t="s">
        <v>44</v>
      </c>
      <c r="C103" s="107">
        <v>0.89600000000000002</v>
      </c>
      <c r="D103" s="1" t="s">
        <v>12</v>
      </c>
      <c r="E103" s="105">
        <v>1.31E-3</v>
      </c>
      <c r="F103" s="1" t="s">
        <v>9</v>
      </c>
      <c r="G103" s="3">
        <f>vstromfeucht(A103,C103,E103)</f>
        <v>10000</v>
      </c>
      <c r="H103" s="1" t="s">
        <v>74</v>
      </c>
      <c r="I103" s="227" t="s">
        <v>229</v>
      </c>
    </row>
    <row r="104" spans="1:12" ht="15.75" thickTop="1" x14ac:dyDescent="0.25">
      <c r="A104" s="66"/>
      <c r="B104" s="1"/>
      <c r="C104" s="1"/>
      <c r="D104" s="1"/>
      <c r="E104" s="1"/>
      <c r="F104" s="1"/>
      <c r="G104" s="1"/>
      <c r="H104" s="1"/>
      <c r="I104" s="67"/>
    </row>
    <row r="105" spans="1:12" ht="15.75" thickBot="1" x14ac:dyDescent="0.3">
      <c r="A105" s="107">
        <v>0.61538000000000004</v>
      </c>
      <c r="B105" s="1" t="s">
        <v>81</v>
      </c>
      <c r="C105" s="105">
        <v>10</v>
      </c>
      <c r="D105" s="1" t="s">
        <v>24</v>
      </c>
      <c r="E105" s="1"/>
      <c r="F105" s="1"/>
      <c r="G105" s="95">
        <f>Vstromm3h_A_w(A105,C105)</f>
        <v>22153.68</v>
      </c>
      <c r="H105" s="1" t="s">
        <v>74</v>
      </c>
      <c r="I105" s="227" t="s">
        <v>230</v>
      </c>
      <c r="K105" s="15"/>
    </row>
    <row r="106" spans="1:12" ht="16.5" thickTop="1" thickBot="1" x14ac:dyDescent="0.3">
      <c r="A106" s="107">
        <f>G111</f>
        <v>0.61538461538461542</v>
      </c>
      <c r="B106" s="1" t="s">
        <v>81</v>
      </c>
      <c r="C106" s="105">
        <v>22150</v>
      </c>
      <c r="D106" s="1" t="s">
        <v>74</v>
      </c>
      <c r="E106" s="1"/>
      <c r="F106" s="1"/>
      <c r="G106" s="6">
        <f>Geschwindigkeit_A_Vstrom(A106,C106)</f>
        <v>9.9982638888888875</v>
      </c>
      <c r="H106" s="1" t="s">
        <v>24</v>
      </c>
      <c r="I106" s="227" t="s">
        <v>231</v>
      </c>
    </row>
    <row r="107" spans="1:12" ht="16.5" thickTop="1" thickBot="1" x14ac:dyDescent="0.3">
      <c r="A107" s="105">
        <f>C106</f>
        <v>22150</v>
      </c>
      <c r="B107" s="81" t="s">
        <v>74</v>
      </c>
      <c r="C107" s="109">
        <v>10</v>
      </c>
      <c r="D107" s="81" t="s">
        <v>24</v>
      </c>
      <c r="E107" s="1"/>
      <c r="F107" s="1"/>
      <c r="G107" s="11">
        <f>Querschnittsflaeche_vstrom_w(A107,C107)</f>
        <v>0.61527777777777781</v>
      </c>
      <c r="H107" s="81" t="s">
        <v>81</v>
      </c>
      <c r="I107" s="227" t="s">
        <v>232</v>
      </c>
    </row>
    <row r="108" spans="1:12" ht="15.75" thickTop="1" x14ac:dyDescent="0.25">
      <c r="A108" s="66"/>
      <c r="B108" s="1"/>
      <c r="C108" s="1"/>
      <c r="D108" s="1"/>
      <c r="E108" s="1"/>
      <c r="F108" s="1"/>
      <c r="G108" s="1"/>
      <c r="H108" s="1"/>
      <c r="I108" s="67"/>
    </row>
    <row r="109" spans="1:12" ht="15.75" thickBot="1" x14ac:dyDescent="0.3">
      <c r="A109" s="105">
        <v>0.6</v>
      </c>
      <c r="B109" s="1" t="s">
        <v>84</v>
      </c>
      <c r="C109" s="1"/>
      <c r="D109" s="1"/>
      <c r="E109" s="1"/>
      <c r="F109" s="1"/>
      <c r="G109" s="11">
        <f>FlaecheKreis(A109)</f>
        <v>0.28274333882308111</v>
      </c>
      <c r="H109" s="1" t="s">
        <v>81</v>
      </c>
      <c r="I109" s="227" t="s">
        <v>233</v>
      </c>
    </row>
    <row r="110" spans="1:12" ht="16.5" thickTop="1" thickBot="1" x14ac:dyDescent="0.3">
      <c r="A110" s="105">
        <v>0.6</v>
      </c>
      <c r="B110" s="1" t="s">
        <v>84</v>
      </c>
      <c r="C110" s="105">
        <v>0.4</v>
      </c>
      <c r="D110" s="1" t="s">
        <v>84</v>
      </c>
      <c r="E110" s="1"/>
      <c r="F110" s="1"/>
      <c r="G110" s="11">
        <f>FlaecheRechteck(A110,C110)</f>
        <v>0.24</v>
      </c>
      <c r="H110" s="1" t="s">
        <v>81</v>
      </c>
      <c r="I110" s="227" t="s">
        <v>234</v>
      </c>
    </row>
    <row r="111" spans="1:12" ht="16.5" thickTop="1" thickBot="1" x14ac:dyDescent="0.3">
      <c r="A111" s="105">
        <v>0.8</v>
      </c>
      <c r="B111" s="1" t="s">
        <v>84</v>
      </c>
      <c r="C111" s="105">
        <v>0.5</v>
      </c>
      <c r="D111" s="1" t="s">
        <v>84</v>
      </c>
      <c r="E111" s="1"/>
      <c r="F111" s="1"/>
      <c r="G111" s="11">
        <f>HydraulischerDurchmesser(A111,C111)</f>
        <v>0.61538461538461542</v>
      </c>
      <c r="H111" s="1" t="s">
        <v>90</v>
      </c>
      <c r="I111" s="227" t="s">
        <v>235</v>
      </c>
    </row>
    <row r="112" spans="1:12" ht="16.5" thickTop="1" thickBot="1" x14ac:dyDescent="0.3">
      <c r="A112" s="105">
        <v>0.3</v>
      </c>
      <c r="B112" s="81" t="s">
        <v>81</v>
      </c>
      <c r="C112" s="1"/>
      <c r="D112" s="1"/>
      <c r="E112" s="1"/>
      <c r="F112" s="1"/>
      <c r="G112" s="11">
        <f>Durchmesser(A112)</f>
        <v>0.61803872323710363</v>
      </c>
      <c r="H112" s="1" t="s">
        <v>90</v>
      </c>
      <c r="I112" s="227" t="s">
        <v>236</v>
      </c>
    </row>
    <row r="113" spans="1:11" ht="16.5" thickTop="1" thickBot="1" x14ac:dyDescent="0.3">
      <c r="A113" s="70"/>
      <c r="B113" s="71"/>
      <c r="C113" s="71"/>
      <c r="D113" s="71"/>
      <c r="E113" s="71"/>
      <c r="F113" s="71"/>
      <c r="G113" s="71"/>
      <c r="H113" s="71"/>
      <c r="I113" s="72"/>
    </row>
    <row r="114" spans="1:11" x14ac:dyDescent="0.25">
      <c r="A114" s="1"/>
      <c r="B114" s="1"/>
      <c r="C114" s="1"/>
      <c r="D114" s="1"/>
      <c r="E114" s="1"/>
      <c r="F114" s="1"/>
      <c r="G114" s="1"/>
      <c r="H114" s="1"/>
      <c r="I114" s="16" t="s">
        <v>127</v>
      </c>
    </row>
    <row r="115" spans="1:11" x14ac:dyDescent="0.25">
      <c r="A115" s="1"/>
      <c r="B115" s="1"/>
      <c r="C115" s="1"/>
      <c r="D115" s="1"/>
      <c r="E115" s="1"/>
      <c r="F115" s="1"/>
      <c r="G115" s="1"/>
      <c r="H115" s="1"/>
      <c r="I115" s="81" t="s">
        <v>128</v>
      </c>
      <c r="K115" s="15"/>
    </row>
    <row r="116" spans="1:11" x14ac:dyDescent="0.25">
      <c r="A116" s="105">
        <v>1.01325</v>
      </c>
      <c r="B116" s="1" t="s">
        <v>5</v>
      </c>
      <c r="C116" s="105">
        <v>33</v>
      </c>
      <c r="D116" s="82" t="s">
        <v>1</v>
      </c>
      <c r="E116" s="106">
        <v>0.68</v>
      </c>
      <c r="F116" s="1"/>
      <c r="G116" s="1"/>
      <c r="H116" s="1"/>
      <c r="I116" s="81" t="s">
        <v>129</v>
      </c>
    </row>
    <row r="117" spans="1:11" x14ac:dyDescent="0.25">
      <c r="A117" s="1"/>
      <c r="B117" s="1"/>
      <c r="C117" s="105">
        <v>20</v>
      </c>
      <c r="D117" s="1" t="s">
        <v>1</v>
      </c>
      <c r="E117" s="1"/>
      <c r="F117" s="1"/>
      <c r="G117" s="1"/>
      <c r="H117" s="1"/>
      <c r="I117" s="81" t="s">
        <v>130</v>
      </c>
    </row>
    <row r="118" spans="1:11" ht="15.75" thickBot="1" x14ac:dyDescent="0.3">
      <c r="A118" s="1"/>
      <c r="B118" s="1"/>
      <c r="C118" s="1"/>
      <c r="D118" s="1"/>
      <c r="E118" s="1"/>
      <c r="F118" s="1"/>
      <c r="G118" s="8">
        <f>RelativeFeuchteHeizen(A116,C116,C117,E116)</f>
        <v>1.4630304000387866</v>
      </c>
      <c r="H118" s="1"/>
      <c r="I118" s="230" t="s">
        <v>237</v>
      </c>
    </row>
    <row r="119" spans="1:11" ht="15.75" thickTop="1" x14ac:dyDescent="0.25">
      <c r="A119" s="1"/>
      <c r="B119" s="1"/>
      <c r="C119" s="1"/>
      <c r="D119" s="1"/>
      <c r="E119" s="1"/>
      <c r="F119" s="1"/>
      <c r="G119" s="1"/>
      <c r="H119" s="1"/>
      <c r="I119" s="1"/>
    </row>
    <row r="120" spans="1:11" x14ac:dyDescent="0.25">
      <c r="I120" s="96" t="s">
        <v>139</v>
      </c>
    </row>
    <row r="122" spans="1:11" x14ac:dyDescent="0.25">
      <c r="I122" s="229" t="s">
        <v>238</v>
      </c>
    </row>
    <row r="123" spans="1:11" x14ac:dyDescent="0.25">
      <c r="I123" s="229" t="s">
        <v>239</v>
      </c>
    </row>
    <row r="124" spans="1:11" x14ac:dyDescent="0.25">
      <c r="I124" s="229" t="s">
        <v>240</v>
      </c>
    </row>
  </sheetData>
  <sheetProtection sheet="1" objects="1" scenarios="1"/>
  <phoneticPr fontId="10" type="noConversion"/>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1:J104"/>
  <sheetViews>
    <sheetView workbookViewId="0">
      <selection activeCell="I61" sqref="I61"/>
    </sheetView>
  </sheetViews>
  <sheetFormatPr baseColWidth="10" defaultRowHeight="15" x14ac:dyDescent="0.25"/>
  <cols>
    <col min="1" max="1" width="3.42578125" customWidth="1"/>
    <col min="2" max="2" width="27.85546875" customWidth="1"/>
    <col min="3" max="3" width="12" bestFit="1" customWidth="1"/>
    <col min="5" max="5" width="12.28515625" customWidth="1"/>
    <col min="7" max="7" width="12.42578125" customWidth="1"/>
  </cols>
  <sheetData>
    <row r="1" spans="2:10" ht="15.75" thickBot="1" x14ac:dyDescent="0.3"/>
    <row r="2" spans="2:10" ht="19.5" thickBot="1" x14ac:dyDescent="0.35">
      <c r="B2" s="46" t="s">
        <v>77</v>
      </c>
      <c r="C2" s="47"/>
      <c r="D2" s="47"/>
      <c r="E2" s="47"/>
      <c r="F2" s="48"/>
    </row>
    <row r="3" spans="2:10" x14ac:dyDescent="0.25">
      <c r="E3" s="231"/>
      <c r="F3" s="232"/>
    </row>
    <row r="4" spans="2:10" ht="15.75" thickBot="1" x14ac:dyDescent="0.3">
      <c r="B4" s="18" t="s">
        <v>26</v>
      </c>
      <c r="C4" s="19"/>
      <c r="D4" s="19"/>
      <c r="F4" s="22"/>
      <c r="G4" s="18"/>
      <c r="H4" s="19" t="s">
        <v>241</v>
      </c>
      <c r="I4" s="20"/>
    </row>
    <row r="5" spans="2:10" ht="15.75" thickBot="1" x14ac:dyDescent="0.3">
      <c r="B5" s="21"/>
      <c r="C5" s="1"/>
      <c r="D5" s="1"/>
      <c r="F5" s="22"/>
      <c r="G5" s="21"/>
      <c r="H5" s="103">
        <v>1.2999999999999999E-2</v>
      </c>
      <c r="I5" s="22" t="s">
        <v>9</v>
      </c>
    </row>
    <row r="6" spans="2:10" ht="15.75" thickBot="1" x14ac:dyDescent="0.3">
      <c r="B6" s="21" t="s">
        <v>0</v>
      </c>
      <c r="C6" s="103">
        <v>21</v>
      </c>
      <c r="D6" s="1" t="s">
        <v>1</v>
      </c>
      <c r="F6" s="22"/>
      <c r="G6" s="21"/>
      <c r="H6" s="1" t="s">
        <v>100</v>
      </c>
      <c r="I6" s="22"/>
    </row>
    <row r="7" spans="2:10" ht="15.75" thickBot="1" x14ac:dyDescent="0.3">
      <c r="B7" s="21"/>
      <c r="C7" s="49">
        <f>C6+273.15</f>
        <v>294.14999999999998</v>
      </c>
      <c r="D7" s="49" t="s">
        <v>14</v>
      </c>
      <c r="F7" s="22"/>
      <c r="G7" s="21"/>
      <c r="H7" s="8">
        <f>RelativeFeuchte_p_t_x(FL_p_bar,FL_t_Celsius,H5)</f>
        <v>0.83354583052037956</v>
      </c>
      <c r="I7" s="22"/>
    </row>
    <row r="8" spans="2:10" ht="16.5" thickTop="1" thickBot="1" x14ac:dyDescent="0.3">
      <c r="B8" s="21" t="s">
        <v>2</v>
      </c>
      <c r="C8" s="104">
        <v>1</v>
      </c>
      <c r="F8" s="22"/>
      <c r="G8" s="24"/>
      <c r="H8" s="233" t="s">
        <v>101</v>
      </c>
      <c r="I8" s="234"/>
      <c r="J8" s="60"/>
    </row>
    <row r="9" spans="2:10" ht="15.75" thickBot="1" x14ac:dyDescent="0.3">
      <c r="B9" s="21" t="s">
        <v>3</v>
      </c>
      <c r="C9" s="103">
        <v>101325</v>
      </c>
      <c r="D9" s="1" t="s">
        <v>6</v>
      </c>
      <c r="E9" s="1"/>
      <c r="F9" s="22"/>
    </row>
    <row r="10" spans="2:10" ht="15.75" thickBot="1" x14ac:dyDescent="0.3">
      <c r="B10" s="21"/>
      <c r="C10" s="49">
        <f>C9/100000</f>
        <v>1.01325</v>
      </c>
      <c r="D10" s="49" t="s">
        <v>5</v>
      </c>
      <c r="E10" s="1"/>
      <c r="F10" s="22"/>
    </row>
    <row r="11" spans="2:10" ht="15.75" thickBot="1" x14ac:dyDescent="0.3">
      <c r="B11" s="24" t="s">
        <v>73</v>
      </c>
      <c r="C11" s="103">
        <v>12000</v>
      </c>
      <c r="D11" s="25" t="s">
        <v>74</v>
      </c>
      <c r="E11" s="59">
        <f>fl_VStrom_feucht/3600</f>
        <v>3.3333333333333335</v>
      </c>
      <c r="F11" s="62" t="s">
        <v>98</v>
      </c>
    </row>
    <row r="12" spans="2:10" x14ac:dyDescent="0.25">
      <c r="B12" s="18" t="s">
        <v>151</v>
      </c>
      <c r="C12" s="19"/>
      <c r="D12" s="19"/>
      <c r="E12" s="19"/>
      <c r="F12" s="20"/>
    </row>
    <row r="13" spans="2:10" x14ac:dyDescent="0.25">
      <c r="B13" s="21"/>
      <c r="C13" s="1"/>
      <c r="D13" s="1"/>
      <c r="E13" s="1"/>
      <c r="F13" s="22"/>
    </row>
    <row r="14" spans="2:10" ht="15.75" thickBot="1" x14ac:dyDescent="0.3">
      <c r="B14" s="21" t="s">
        <v>4</v>
      </c>
      <c r="C14" s="11">
        <f>Saettigungsdruck_t(FL_t_Celsius)</f>
        <v>2.4887406255746345E-2</v>
      </c>
      <c r="D14" s="1" t="s">
        <v>5</v>
      </c>
      <c r="E14" s="1"/>
      <c r="F14" s="22"/>
    </row>
    <row r="15" spans="2:10" ht="16.5" thickTop="1" thickBot="1" x14ac:dyDescent="0.3">
      <c r="B15" s="21"/>
      <c r="C15" s="5">
        <f>C14*100000</f>
        <v>2488.7406255746346</v>
      </c>
      <c r="D15" s="1" t="s">
        <v>6</v>
      </c>
      <c r="E15" s="1"/>
      <c r="F15" s="22"/>
    </row>
    <row r="16" spans="2:10" ht="15.75" thickTop="1" x14ac:dyDescent="0.25">
      <c r="B16" s="24"/>
      <c r="C16" s="27"/>
      <c r="D16" s="25"/>
      <c r="E16" s="25"/>
      <c r="F16" s="26"/>
    </row>
    <row r="17" spans="2:6" x14ac:dyDescent="0.25">
      <c r="B17" s="18" t="s">
        <v>27</v>
      </c>
      <c r="C17" s="28"/>
      <c r="D17" s="19"/>
      <c r="E17" s="19"/>
      <c r="F17" s="20"/>
    </row>
    <row r="18" spans="2:6" x14ac:dyDescent="0.25">
      <c r="B18" s="21"/>
      <c r="C18" s="1"/>
      <c r="D18" s="1"/>
      <c r="E18" s="1"/>
      <c r="F18" s="22"/>
    </row>
    <row r="19" spans="2:6" ht="15.75" thickBot="1" x14ac:dyDescent="0.3">
      <c r="B19" s="21" t="s">
        <v>8</v>
      </c>
      <c r="C19" s="3">
        <f>Wassergehalt_p_t_phi(FL_p_bar,FL_t_Celsius,FL_phi)</f>
        <v>1.5661392073158826E-2</v>
      </c>
      <c r="D19" s="1" t="s">
        <v>9</v>
      </c>
      <c r="E19" s="1"/>
      <c r="F19" s="29"/>
    </row>
    <row r="20" spans="2:6" ht="16.5" thickTop="1" thickBot="1" x14ac:dyDescent="0.3">
      <c r="B20" s="21"/>
      <c r="C20" s="84">
        <f>C19*1000</f>
        <v>15.661392073158826</v>
      </c>
      <c r="D20" s="1" t="s">
        <v>10</v>
      </c>
      <c r="E20" s="1"/>
      <c r="F20" s="22"/>
    </row>
    <row r="21" spans="2:6" ht="15.75" thickTop="1" x14ac:dyDescent="0.25">
      <c r="B21" s="21"/>
      <c r="C21" s="1"/>
      <c r="D21" s="1"/>
      <c r="E21" s="1"/>
      <c r="F21" s="22"/>
    </row>
    <row r="22" spans="2:6" x14ac:dyDescent="0.25">
      <c r="B22" s="21" t="s">
        <v>30</v>
      </c>
      <c r="C22" s="1"/>
      <c r="D22" s="1"/>
      <c r="E22" s="1"/>
      <c r="F22" s="22"/>
    </row>
    <row r="23" spans="2:6" x14ac:dyDescent="0.25">
      <c r="B23" s="21"/>
      <c r="C23" s="1"/>
      <c r="D23" s="1"/>
      <c r="E23" s="1"/>
      <c r="F23" s="22"/>
    </row>
    <row r="24" spans="2:6" ht="15.75" thickBot="1" x14ac:dyDescent="0.3">
      <c r="B24" s="21" t="s">
        <v>2</v>
      </c>
      <c r="C24" s="8">
        <f>RelativeFeuchte_p_x_pws(C10,C19,C14)</f>
        <v>0.99999999999999978</v>
      </c>
      <c r="D24" s="1"/>
      <c r="E24" s="1"/>
      <c r="F24" s="22"/>
    </row>
    <row r="25" spans="2:6" ht="15.75" thickTop="1" x14ac:dyDescent="0.25">
      <c r="B25" s="24"/>
      <c r="C25" s="25"/>
      <c r="D25" s="25"/>
      <c r="E25" s="25"/>
      <c r="F25" s="26"/>
    </row>
    <row r="26" spans="2:6" x14ac:dyDescent="0.25">
      <c r="B26" s="18" t="s">
        <v>28</v>
      </c>
      <c r="C26" s="19"/>
      <c r="D26" s="19"/>
      <c r="E26" s="19"/>
      <c r="F26" s="20"/>
    </row>
    <row r="27" spans="2:6" x14ac:dyDescent="0.25">
      <c r="B27" s="21"/>
      <c r="C27" s="1"/>
      <c r="D27" s="1"/>
      <c r="E27" s="1"/>
      <c r="F27" s="22"/>
    </row>
    <row r="28" spans="2:6" ht="15.75" thickBot="1" x14ac:dyDescent="0.3">
      <c r="B28" s="21" t="s">
        <v>15</v>
      </c>
      <c r="C28" s="3">
        <f>WassergehaltSaet_t_p(FL_t_Celsius,FL_p_bar)</f>
        <v>1.5661392073158826E-2</v>
      </c>
      <c r="D28" s="1" t="s">
        <v>9</v>
      </c>
      <c r="E28" s="1"/>
      <c r="F28" s="22"/>
    </row>
    <row r="29" spans="2:6" ht="15.75" thickTop="1" x14ac:dyDescent="0.25">
      <c r="B29" s="21"/>
      <c r="C29" s="1"/>
      <c r="D29" s="1"/>
      <c r="E29" s="1"/>
      <c r="F29" s="22"/>
    </row>
    <row r="30" spans="2:6" ht="15.75" thickBot="1" x14ac:dyDescent="0.3">
      <c r="B30" s="21" t="s">
        <v>16</v>
      </c>
      <c r="C30" s="3" t="str">
        <f>IF(C19-C28&lt;=0," ",C19-C28)</f>
        <v xml:space="preserve"> </v>
      </c>
      <c r="D30" s="1" t="s">
        <v>9</v>
      </c>
      <c r="E30" s="1"/>
      <c r="F30" s="22"/>
    </row>
    <row r="31" spans="2:6" ht="15.75" thickTop="1" x14ac:dyDescent="0.25">
      <c r="B31" s="24"/>
      <c r="C31" s="25"/>
      <c r="D31" s="25"/>
      <c r="E31" s="25"/>
      <c r="F31" s="26"/>
    </row>
    <row r="32" spans="2:6" x14ac:dyDescent="0.25">
      <c r="B32" s="18" t="s">
        <v>29</v>
      </c>
      <c r="C32" s="19"/>
      <c r="D32" s="19"/>
      <c r="E32" s="19"/>
      <c r="F32" s="20"/>
    </row>
    <row r="33" spans="2:9" x14ac:dyDescent="0.25">
      <c r="B33" s="21"/>
      <c r="C33" s="1"/>
      <c r="D33" s="1"/>
      <c r="E33" s="1"/>
      <c r="F33" s="22"/>
    </row>
    <row r="34" spans="2:9" ht="15.75" thickBot="1" x14ac:dyDescent="0.3">
      <c r="B34" s="21" t="s">
        <v>7</v>
      </c>
      <c r="C34" s="6">
        <f>C35*100000</f>
        <v>2488.7406255746337</v>
      </c>
      <c r="D34" s="1" t="s">
        <v>6</v>
      </c>
      <c r="E34" s="1"/>
      <c r="F34" s="22"/>
      <c r="I34" s="83"/>
    </row>
    <row r="35" spans="2:9" ht="16.5" thickTop="1" thickBot="1" x14ac:dyDescent="0.3">
      <c r="B35" s="21"/>
      <c r="C35" s="7">
        <f>PartialdruckWasser_p_x(FL_p_bar,FL_Wassergehalt_kgkg)</f>
        <v>2.4887406255746338E-2</v>
      </c>
      <c r="D35" s="1" t="s">
        <v>5</v>
      </c>
      <c r="E35" s="1"/>
      <c r="F35" s="22"/>
    </row>
    <row r="36" spans="2:9" ht="15.75" thickTop="1" x14ac:dyDescent="0.25">
      <c r="B36" s="24"/>
      <c r="C36" s="25"/>
      <c r="D36" s="25"/>
      <c r="E36" s="25"/>
      <c r="F36" s="26"/>
    </row>
    <row r="37" spans="2:9" x14ac:dyDescent="0.25">
      <c r="B37" s="18" t="s">
        <v>31</v>
      </c>
      <c r="C37" s="19"/>
      <c r="D37" s="19"/>
      <c r="E37" s="19"/>
      <c r="F37" s="20"/>
    </row>
    <row r="38" spans="2:9" x14ac:dyDescent="0.25">
      <c r="B38" s="21"/>
      <c r="C38" s="1"/>
      <c r="D38" s="1"/>
      <c r="E38" s="1"/>
      <c r="F38" s="22"/>
    </row>
    <row r="39" spans="2:9" ht="15.75" thickBot="1" x14ac:dyDescent="0.3">
      <c r="B39" s="21" t="s">
        <v>11</v>
      </c>
      <c r="C39" s="6">
        <f>C40*100000</f>
        <v>98836.259374425368</v>
      </c>
      <c r="D39" s="1" t="s">
        <v>6</v>
      </c>
      <c r="E39" s="1"/>
      <c r="F39" s="22"/>
    </row>
    <row r="40" spans="2:9" ht="16.5" thickTop="1" thickBot="1" x14ac:dyDescent="0.3">
      <c r="B40" s="21"/>
      <c r="C40" s="7">
        <f>PartialdruckLuft_p_x(FL_p_bar,FL_Wassergehalt_kgkg)</f>
        <v>0.98836259374425361</v>
      </c>
      <c r="D40" s="1" t="s">
        <v>5</v>
      </c>
      <c r="E40" s="1"/>
      <c r="F40" s="22"/>
    </row>
    <row r="41" spans="2:9" ht="15.75" thickTop="1" x14ac:dyDescent="0.25">
      <c r="B41" s="24"/>
      <c r="C41" s="30"/>
      <c r="D41" s="25"/>
      <c r="E41" s="25"/>
      <c r="F41" s="26"/>
    </row>
    <row r="42" spans="2:9" x14ac:dyDescent="0.25">
      <c r="B42" s="18" t="s">
        <v>32</v>
      </c>
      <c r="C42" s="31"/>
      <c r="D42" s="19"/>
      <c r="E42" s="19"/>
      <c r="F42" s="20"/>
    </row>
    <row r="43" spans="2:9" x14ac:dyDescent="0.25">
      <c r="B43" s="21"/>
      <c r="C43" s="1"/>
      <c r="D43" s="1"/>
      <c r="E43" s="1"/>
      <c r="F43" s="22"/>
    </row>
    <row r="44" spans="2:9" ht="15.75" thickBot="1" x14ac:dyDescent="0.3">
      <c r="B44" s="21" t="s">
        <v>20</v>
      </c>
      <c r="C44" s="11">
        <f>Dichte_p_t_pw(FL_p_bar,FL_t_Celsius,FL_PartialdruckWasser)</f>
        <v>1.1888822432075967</v>
      </c>
      <c r="D44" s="1" t="s">
        <v>12</v>
      </c>
      <c r="E44" s="1"/>
      <c r="F44" s="22"/>
    </row>
    <row r="45" spans="2:9" ht="15.75" thickTop="1" x14ac:dyDescent="0.25">
      <c r="B45" s="24"/>
      <c r="C45" s="25"/>
      <c r="D45" s="25"/>
      <c r="E45" s="25"/>
      <c r="F45" s="26"/>
      <c r="G45" s="83"/>
    </row>
    <row r="46" spans="2:9" x14ac:dyDescent="0.25">
      <c r="B46" s="18" t="s">
        <v>33</v>
      </c>
      <c r="C46" s="19"/>
      <c r="D46" s="19"/>
      <c r="E46" s="19"/>
      <c r="F46" s="20"/>
    </row>
    <row r="47" spans="2:9" x14ac:dyDescent="0.25">
      <c r="B47" s="21" t="s">
        <v>34</v>
      </c>
      <c r="C47" s="1"/>
      <c r="D47" s="1"/>
      <c r="E47" s="1"/>
      <c r="F47" s="22"/>
    </row>
    <row r="48" spans="2:9" x14ac:dyDescent="0.25">
      <c r="B48" s="21"/>
      <c r="C48" s="1"/>
      <c r="D48" s="1"/>
      <c r="E48" s="1"/>
      <c r="F48" s="22"/>
    </row>
    <row r="49" spans="2:7" x14ac:dyDescent="0.25">
      <c r="B49" s="86" t="s">
        <v>21</v>
      </c>
      <c r="C49" s="87">
        <f>C39/(RLuft()*C7)</f>
        <v>1.1705498037892936</v>
      </c>
      <c r="D49" s="88" t="s">
        <v>12</v>
      </c>
      <c r="E49" s="88"/>
      <c r="F49" s="89"/>
    </row>
    <row r="50" spans="2:7" x14ac:dyDescent="0.25">
      <c r="B50" s="24"/>
      <c r="C50" s="25"/>
      <c r="D50" s="25"/>
      <c r="E50" s="25"/>
      <c r="F50" s="26"/>
    </row>
    <row r="51" spans="2:7" x14ac:dyDescent="0.25">
      <c r="B51" s="33" t="s">
        <v>35</v>
      </c>
      <c r="C51" s="19"/>
      <c r="D51" s="19"/>
      <c r="E51" s="19"/>
      <c r="F51" s="20"/>
    </row>
    <row r="52" spans="2:7" x14ac:dyDescent="0.25">
      <c r="B52" s="32" t="s">
        <v>34</v>
      </c>
      <c r="C52" s="1"/>
      <c r="D52" s="1"/>
      <c r="E52" s="1"/>
      <c r="F52" s="22"/>
    </row>
    <row r="53" spans="2:7" x14ac:dyDescent="0.25">
      <c r="B53" s="21"/>
      <c r="C53" s="1"/>
      <c r="D53" s="1"/>
      <c r="E53" s="1"/>
      <c r="F53" s="22"/>
    </row>
    <row r="54" spans="2:7" ht="15.75" thickBot="1" x14ac:dyDescent="0.3">
      <c r="B54" s="21" t="s">
        <v>8</v>
      </c>
      <c r="C54" s="11">
        <f>C19*C44</f>
        <v>1.8619550939690737E-2</v>
      </c>
      <c r="D54" s="1" t="s">
        <v>12</v>
      </c>
      <c r="E54" s="1"/>
      <c r="F54" s="22"/>
    </row>
    <row r="55" spans="2:7" ht="16.5" thickTop="1" thickBot="1" x14ac:dyDescent="0.3">
      <c r="B55" s="21"/>
      <c r="C55" s="5">
        <f>C54*1000</f>
        <v>18.619550939690736</v>
      </c>
      <c r="D55" s="1" t="s">
        <v>19</v>
      </c>
      <c r="E55" s="1"/>
      <c r="F55" s="22"/>
    </row>
    <row r="56" spans="2:7" ht="15.75" thickTop="1" x14ac:dyDescent="0.25">
      <c r="B56" s="24"/>
      <c r="C56" s="25"/>
      <c r="D56" s="25"/>
      <c r="E56" s="25"/>
      <c r="F56" s="26"/>
    </row>
    <row r="57" spans="2:7" x14ac:dyDescent="0.25">
      <c r="B57" s="18" t="s">
        <v>36</v>
      </c>
      <c r="C57" s="19"/>
      <c r="D57" s="19"/>
      <c r="E57" s="19"/>
      <c r="F57" s="20"/>
    </row>
    <row r="58" spans="2:7" x14ac:dyDescent="0.25">
      <c r="B58" s="21" t="s">
        <v>37</v>
      </c>
      <c r="C58" s="1"/>
      <c r="D58" s="1"/>
      <c r="E58" s="1"/>
      <c r="F58" s="22"/>
    </row>
    <row r="59" spans="2:7" x14ac:dyDescent="0.25">
      <c r="B59" s="21" t="s">
        <v>38</v>
      </c>
      <c r="C59" s="1"/>
      <c r="D59" s="1"/>
      <c r="E59" s="1"/>
      <c r="F59" s="22"/>
    </row>
    <row r="60" spans="2:7" x14ac:dyDescent="0.25">
      <c r="B60" s="21"/>
      <c r="C60" s="1"/>
      <c r="D60" s="1"/>
      <c r="E60" s="1"/>
      <c r="F60" s="22"/>
    </row>
    <row r="61" spans="2:7" ht="15.75" thickBot="1" x14ac:dyDescent="0.3">
      <c r="B61" s="35" t="s">
        <v>13</v>
      </c>
      <c r="C61" s="10">
        <f>Enthalpie_p_t_x(C10,C6,C19)</f>
        <v>60.876222637981954</v>
      </c>
      <c r="D61" s="36" t="s">
        <v>17</v>
      </c>
      <c r="E61" s="1"/>
      <c r="F61" s="22"/>
    </row>
    <row r="62" spans="2:7" ht="15.75" thickTop="1" x14ac:dyDescent="0.25">
      <c r="B62" s="24"/>
      <c r="C62" s="25"/>
      <c r="D62" s="25"/>
      <c r="E62" s="37"/>
      <c r="F62" s="38"/>
      <c r="G62" s="9"/>
    </row>
    <row r="63" spans="2:7" x14ac:dyDescent="0.25">
      <c r="B63" s="33" t="s">
        <v>242</v>
      </c>
      <c r="C63" s="39"/>
      <c r="D63" s="40"/>
      <c r="E63" s="41"/>
      <c r="F63" s="42"/>
      <c r="G63" s="9"/>
    </row>
    <row r="64" spans="2:7" x14ac:dyDescent="0.25">
      <c r="B64" s="35"/>
      <c r="C64" s="34"/>
      <c r="D64" s="36"/>
      <c r="E64" s="43"/>
      <c r="F64" s="44"/>
      <c r="G64" s="9"/>
    </row>
    <row r="65" spans="2:7" ht="15.75" thickBot="1" x14ac:dyDescent="0.3">
      <c r="B65" s="21" t="s">
        <v>18</v>
      </c>
      <c r="C65" s="6">
        <f>Saettigungstemperatur_p(C35)</f>
        <v>21.000000000000021</v>
      </c>
      <c r="D65" s="1" t="s">
        <v>1</v>
      </c>
      <c r="E65" s="1"/>
      <c r="F65" s="22"/>
    </row>
    <row r="66" spans="2:7" ht="15.75" thickTop="1" x14ac:dyDescent="0.25">
      <c r="B66" s="21"/>
      <c r="C66" s="1"/>
      <c r="D66" s="1"/>
      <c r="E66" s="1"/>
      <c r="F66" s="22"/>
    </row>
    <row r="67" spans="2:7" x14ac:dyDescent="0.25">
      <c r="B67" s="21" t="s">
        <v>39</v>
      </c>
      <c r="C67" s="23"/>
      <c r="D67" s="1"/>
      <c r="E67" s="23"/>
      <c r="F67" s="22"/>
      <c r="G67" s="1"/>
    </row>
    <row r="68" spans="2:7" x14ac:dyDescent="0.25">
      <c r="B68" s="21" t="s">
        <v>40</v>
      </c>
      <c r="C68" s="23"/>
      <c r="D68" s="1"/>
      <c r="E68" s="1"/>
      <c r="F68" s="22"/>
    </row>
    <row r="69" spans="2:7" ht="15.75" thickBot="1" x14ac:dyDescent="0.3">
      <c r="B69" s="21"/>
      <c r="C69" s="101">
        <f>C8^(1/8.02)*(109.8+C6)-109.8</f>
        <v>21.000000000000014</v>
      </c>
      <c r="D69" s="13" t="s">
        <v>23</v>
      </c>
      <c r="E69" s="14"/>
      <c r="F69" s="22"/>
      <c r="G69" s="1"/>
    </row>
    <row r="70" spans="2:7" ht="15.75" thickTop="1" x14ac:dyDescent="0.25">
      <c r="B70" s="24"/>
      <c r="C70" s="25"/>
      <c r="D70" s="25"/>
      <c r="E70" s="25"/>
      <c r="F70" s="26"/>
    </row>
    <row r="71" spans="2:7" x14ac:dyDescent="0.25">
      <c r="B71" s="18" t="s">
        <v>41</v>
      </c>
      <c r="C71" s="19"/>
      <c r="D71" s="19"/>
      <c r="E71" s="28"/>
      <c r="F71" s="20"/>
    </row>
    <row r="72" spans="2:7" x14ac:dyDescent="0.25">
      <c r="B72" s="21" t="s">
        <v>42</v>
      </c>
      <c r="C72" s="1"/>
      <c r="D72" s="1"/>
      <c r="E72" s="1"/>
      <c r="F72" s="22"/>
    </row>
    <row r="73" spans="2:7" x14ac:dyDescent="0.25">
      <c r="B73" s="21" t="s">
        <v>43</v>
      </c>
      <c r="C73" s="1"/>
      <c r="D73" s="1"/>
      <c r="E73" s="1"/>
      <c r="F73" s="22"/>
    </row>
    <row r="74" spans="2:7" x14ac:dyDescent="0.25">
      <c r="B74" s="21"/>
      <c r="C74" s="1"/>
      <c r="D74" s="1"/>
      <c r="E74" s="1"/>
      <c r="F74" s="22"/>
    </row>
    <row r="75" spans="2:7" ht="15.75" thickBot="1" x14ac:dyDescent="0.3">
      <c r="B75" s="21" t="s">
        <v>22</v>
      </c>
      <c r="C75" s="3">
        <f>FeuchtkugelTemp_p_t_phi(C10,C6,C8)</f>
        <v>20.999999999999979</v>
      </c>
      <c r="D75" s="1" t="s">
        <v>1</v>
      </c>
      <c r="E75" s="1"/>
      <c r="F75" s="22"/>
    </row>
    <row r="76" spans="2:7" ht="15.75" thickTop="1" x14ac:dyDescent="0.25">
      <c r="B76" s="24"/>
      <c r="C76" s="25"/>
      <c r="D76" s="25"/>
      <c r="E76" s="25"/>
      <c r="F76" s="26"/>
    </row>
    <row r="77" spans="2:7" x14ac:dyDescent="0.25">
      <c r="B77" s="33" t="s">
        <v>75</v>
      </c>
      <c r="C77" s="19"/>
      <c r="D77" s="19"/>
      <c r="E77" s="19"/>
      <c r="F77" s="20"/>
    </row>
    <row r="78" spans="2:7" x14ac:dyDescent="0.25">
      <c r="B78" s="21"/>
      <c r="C78" s="1"/>
      <c r="D78" s="1"/>
      <c r="E78" s="1"/>
      <c r="F78" s="22"/>
    </row>
    <row r="79" spans="2:7" ht="15.75" thickBot="1" x14ac:dyDescent="0.3">
      <c r="B79" s="21" t="s">
        <v>76</v>
      </c>
      <c r="C79" s="51">
        <f>mstromtrocken(fl_VStrom_feucht,C44,FL_Wassergehalt_kgkg)</f>
        <v>14046.597645471522</v>
      </c>
      <c r="D79" s="1" t="s">
        <v>44</v>
      </c>
      <c r="E79" s="59">
        <f>C79/3600</f>
        <v>3.901832679297645</v>
      </c>
      <c r="F79" s="61" t="s">
        <v>99</v>
      </c>
    </row>
    <row r="80" spans="2:7" ht="15.75" thickTop="1" x14ac:dyDescent="0.25">
      <c r="B80" s="24"/>
      <c r="C80" s="25"/>
      <c r="D80" s="25"/>
      <c r="E80" s="25"/>
      <c r="F80" s="26"/>
    </row>
    <row r="81" spans="2:6" x14ac:dyDescent="0.25">
      <c r="B81" s="18" t="s">
        <v>79</v>
      </c>
      <c r="C81" s="19"/>
      <c r="D81" s="19"/>
      <c r="E81" s="19"/>
      <c r="F81" s="20"/>
    </row>
    <row r="82" spans="2:6" ht="15.75" thickBot="1" x14ac:dyDescent="0.3">
      <c r="B82" s="21"/>
      <c r="C82" s="1"/>
      <c r="D82" s="1"/>
      <c r="E82" s="1"/>
      <c r="F82" s="22"/>
    </row>
    <row r="83" spans="2:6" ht="15.75" thickBot="1" x14ac:dyDescent="0.3">
      <c r="B83" s="21" t="s">
        <v>80</v>
      </c>
      <c r="C83" s="2">
        <v>10</v>
      </c>
      <c r="D83" s="1" t="s">
        <v>24</v>
      </c>
      <c r="E83" s="1"/>
      <c r="F83" s="22"/>
    </row>
    <row r="84" spans="2:6" x14ac:dyDescent="0.25">
      <c r="B84" s="21"/>
      <c r="C84" s="1"/>
      <c r="D84" s="1"/>
      <c r="E84" s="1"/>
      <c r="F84" s="22"/>
    </row>
    <row r="85" spans="2:6" ht="15.75" thickBot="1" x14ac:dyDescent="0.3">
      <c r="B85" s="54" t="s">
        <v>82</v>
      </c>
      <c r="C85" s="52">
        <f>Querschnittsflaeche_vstrom_w(fl_VStrom_feucht,C83)</f>
        <v>0.33333333333333337</v>
      </c>
      <c r="D85" s="1" t="s">
        <v>81</v>
      </c>
      <c r="E85" s="1"/>
      <c r="F85" s="22"/>
    </row>
    <row r="86" spans="2:6" ht="15.75" thickTop="1" x14ac:dyDescent="0.25">
      <c r="B86" s="21"/>
      <c r="C86" s="1"/>
      <c r="D86" s="1"/>
      <c r="F86" s="22"/>
    </row>
    <row r="87" spans="2:6" ht="15.75" thickBot="1" x14ac:dyDescent="0.3">
      <c r="B87" s="54" t="s">
        <v>83</v>
      </c>
      <c r="C87" s="52">
        <f>Durchmesser(C85)</f>
        <v>0.6514700158705603</v>
      </c>
      <c r="D87" s="1" t="s">
        <v>84</v>
      </c>
      <c r="F87" s="22"/>
    </row>
    <row r="88" spans="2:6" ht="15.75" thickTop="1" x14ac:dyDescent="0.25">
      <c r="B88" s="24"/>
      <c r="C88" s="25"/>
      <c r="D88" s="25"/>
      <c r="E88" s="25"/>
      <c r="F88" s="26"/>
    </row>
    <row r="89" spans="2:6" x14ac:dyDescent="0.25">
      <c r="B89" s="18" t="s">
        <v>85</v>
      </c>
      <c r="C89" s="19"/>
      <c r="D89" s="19"/>
      <c r="E89" s="19"/>
      <c r="F89" s="20"/>
    </row>
    <row r="90" spans="2:6" ht="15.75" thickBot="1" x14ac:dyDescent="0.3">
      <c r="B90" s="21"/>
      <c r="C90" s="1"/>
      <c r="D90" s="1"/>
      <c r="E90" s="1"/>
      <c r="F90" s="22"/>
    </row>
    <row r="91" spans="2:6" ht="15.75" thickBot="1" x14ac:dyDescent="0.3">
      <c r="B91" s="54" t="s">
        <v>86</v>
      </c>
      <c r="C91" s="103">
        <v>0.6</v>
      </c>
      <c r="D91" s="1" t="s">
        <v>84</v>
      </c>
      <c r="E91" s="1"/>
      <c r="F91" s="22"/>
    </row>
    <row r="92" spans="2:6" ht="15.75" thickBot="1" x14ac:dyDescent="0.3">
      <c r="B92" s="54" t="s">
        <v>91</v>
      </c>
      <c r="C92" s="103">
        <v>0.03</v>
      </c>
      <c r="D92" s="1" t="s">
        <v>89</v>
      </c>
      <c r="E92" s="1"/>
      <c r="F92" s="22"/>
    </row>
    <row r="93" spans="2:6" x14ac:dyDescent="0.25">
      <c r="B93" s="54"/>
      <c r="C93" s="49">
        <f>C92/1000</f>
        <v>2.9999999999999997E-5</v>
      </c>
      <c r="D93" s="49" t="s">
        <v>90</v>
      </c>
      <c r="E93" s="1"/>
      <c r="F93" s="22"/>
    </row>
    <row r="94" spans="2:6" x14ac:dyDescent="0.25">
      <c r="B94" s="54"/>
      <c r="C94" s="1"/>
      <c r="D94" s="1"/>
      <c r="E94" s="1"/>
      <c r="F94" s="22"/>
    </row>
    <row r="95" spans="2:6" ht="15.75" thickBot="1" x14ac:dyDescent="0.3">
      <c r="B95" s="54" t="s">
        <v>88</v>
      </c>
      <c r="C95" s="52">
        <f>FlaecheKreis(C91)</f>
        <v>0.28274333882308111</v>
      </c>
      <c r="D95" s="1" t="s">
        <v>81</v>
      </c>
      <c r="E95" s="1"/>
      <c r="F95" s="22"/>
    </row>
    <row r="96" spans="2:6" ht="16.5" thickTop="1" thickBot="1" x14ac:dyDescent="0.3">
      <c r="B96" s="54" t="s">
        <v>87</v>
      </c>
      <c r="C96" s="53">
        <f>Geschwindigkeit_A_Vstrom(C95,fl_VStrom_feucht)</f>
        <v>11.789255043844111</v>
      </c>
      <c r="D96" s="1" t="s">
        <v>24</v>
      </c>
      <c r="E96" s="1"/>
      <c r="F96" s="22"/>
    </row>
    <row r="97" spans="2:6" ht="15.75" thickTop="1" x14ac:dyDescent="0.25">
      <c r="B97" s="54"/>
      <c r="C97" s="55"/>
      <c r="D97" s="1"/>
      <c r="E97" s="1"/>
      <c r="F97" s="22"/>
    </row>
    <row r="98" spans="2:6" ht="15.75" thickBot="1" x14ac:dyDescent="0.3">
      <c r="B98" s="54" t="s">
        <v>97</v>
      </c>
      <c r="C98" s="3">
        <f>ViskositaetDyn_t(FL_t_Celsius)</f>
        <v>1.8286305388977979E-5</v>
      </c>
      <c r="D98" s="1" t="s">
        <v>78</v>
      </c>
      <c r="E98" s="1"/>
      <c r="F98" s="22"/>
    </row>
    <row r="99" spans="2:6" ht="16.5" thickTop="1" thickBot="1" x14ac:dyDescent="0.3">
      <c r="B99" s="54" t="s">
        <v>92</v>
      </c>
      <c r="C99" s="4">
        <f>ViskositaetKin_t(FL_t_Celsius)</f>
        <v>1.5443218750859553E-5</v>
      </c>
      <c r="D99" s="1" t="s">
        <v>93</v>
      </c>
      <c r="E99" s="1"/>
      <c r="F99" s="22"/>
    </row>
    <row r="100" spans="2:6" ht="16.5" thickTop="1" thickBot="1" x14ac:dyDescent="0.3">
      <c r="B100" s="54" t="s">
        <v>94</v>
      </c>
      <c r="C100" s="56">
        <f>Reynolds_d_nue_w(C91,C99,C96)</f>
        <v>458036.18665394868</v>
      </c>
      <c r="D100" s="1"/>
      <c r="E100" s="57"/>
      <c r="F100" s="22"/>
    </row>
    <row r="101" spans="2:6" ht="16.5" thickTop="1" thickBot="1" x14ac:dyDescent="0.3">
      <c r="B101" s="54" t="s">
        <v>95</v>
      </c>
      <c r="C101" s="53">
        <f>RohrReibungszahl(C100,C93,C91)</f>
        <v>1.401629519910666E-2</v>
      </c>
      <c r="D101" s="1"/>
      <c r="E101" s="1"/>
      <c r="F101" s="22"/>
    </row>
    <row r="102" spans="2:6" ht="15.75" thickTop="1" x14ac:dyDescent="0.25">
      <c r="B102" s="54"/>
      <c r="C102" s="1"/>
      <c r="D102" s="1"/>
      <c r="E102" s="1"/>
      <c r="F102" s="22"/>
    </row>
    <row r="103" spans="2:6" ht="15.75" thickBot="1" x14ac:dyDescent="0.3">
      <c r="B103" s="54" t="s">
        <v>96</v>
      </c>
      <c r="C103" s="6">
        <f>DeltaP(C101,1,C91,fl_rho,C96)</f>
        <v>1.9300277640350265</v>
      </c>
      <c r="D103" s="1" t="s">
        <v>6</v>
      </c>
      <c r="E103" s="1"/>
      <c r="F103" s="22"/>
    </row>
    <row r="104" spans="2:6" ht="15.75" thickTop="1" x14ac:dyDescent="0.25">
      <c r="B104" s="58"/>
      <c r="C104" s="25"/>
      <c r="D104" s="25"/>
      <c r="E104" s="25"/>
      <c r="F104" s="26"/>
    </row>
  </sheetData>
  <sheetProtection sheet="1" objects="1" scenarios="1"/>
  <phoneticPr fontId="10" type="noConversion"/>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B2:V35"/>
  <sheetViews>
    <sheetView workbookViewId="0">
      <selection activeCell="C9" sqref="C9"/>
    </sheetView>
  </sheetViews>
  <sheetFormatPr baseColWidth="10" defaultRowHeight="15" x14ac:dyDescent="0.25"/>
  <cols>
    <col min="1" max="1" width="4.85546875" style="135" customWidth="1"/>
    <col min="2" max="2" width="24.7109375" style="135" customWidth="1"/>
    <col min="3" max="4" width="9.7109375" style="135" customWidth="1"/>
    <col min="5" max="7" width="9.7109375" style="135" hidden="1" customWidth="1"/>
    <col min="8" max="9" width="9.7109375" style="135" customWidth="1"/>
    <col min="10" max="12" width="9.7109375" style="135" hidden="1" customWidth="1"/>
    <col min="13" max="15" width="9.7109375" style="135" customWidth="1"/>
    <col min="16" max="16" width="9.7109375" style="135" hidden="1" customWidth="1"/>
    <col min="17" max="22" width="9.7109375" style="135" customWidth="1"/>
    <col min="23" max="16384" width="11.42578125" style="135"/>
  </cols>
  <sheetData>
    <row r="2" spans="2:22" x14ac:dyDescent="0.25">
      <c r="B2" s="135" t="s">
        <v>184</v>
      </c>
    </row>
    <row r="3" spans="2:22" x14ac:dyDescent="0.25">
      <c r="B3" s="135" t="s">
        <v>183</v>
      </c>
    </row>
    <row r="4" spans="2:22" x14ac:dyDescent="0.25">
      <c r="B4" s="135" t="s">
        <v>186</v>
      </c>
    </row>
    <row r="5" spans="2:22" ht="15.75" thickBot="1" x14ac:dyDescent="0.3"/>
    <row r="6" spans="2:22" ht="26.25" customHeight="1" thickBot="1" x14ac:dyDescent="0.3">
      <c r="B6" s="142" t="s">
        <v>174</v>
      </c>
      <c r="C6" s="235">
        <v>1.01325</v>
      </c>
      <c r="D6" s="236"/>
      <c r="E6" s="201"/>
      <c r="F6" s="201"/>
      <c r="G6" s="201"/>
      <c r="H6" s="237" t="s">
        <v>171</v>
      </c>
      <c r="I6" s="237"/>
      <c r="J6" s="237"/>
      <c r="K6" s="237"/>
      <c r="L6" s="237"/>
      <c r="M6" s="237"/>
      <c r="N6" s="237"/>
      <c r="O6" s="237"/>
      <c r="P6" s="237"/>
      <c r="Q6" s="237"/>
      <c r="R6" s="237"/>
      <c r="S6" s="238"/>
      <c r="T6" s="142" t="s">
        <v>158</v>
      </c>
      <c r="U6" s="123">
        <v>10000</v>
      </c>
      <c r="V6" s="159" t="s">
        <v>44</v>
      </c>
    </row>
    <row r="7" spans="2:22" ht="44.25" customHeight="1" thickBot="1" x14ac:dyDescent="0.3">
      <c r="B7" s="143" t="s">
        <v>159</v>
      </c>
      <c r="C7" s="145" t="s">
        <v>160</v>
      </c>
      <c r="D7" s="146" t="str">
        <f>S7</f>
        <v>Enthalpie</v>
      </c>
      <c r="E7" s="147"/>
      <c r="F7" s="147"/>
      <c r="G7" s="147"/>
      <c r="H7" s="148" t="s">
        <v>170</v>
      </c>
      <c r="I7" s="149" t="s">
        <v>157</v>
      </c>
      <c r="J7" s="149"/>
      <c r="K7" s="149"/>
      <c r="L7" s="149"/>
      <c r="M7" s="149" t="str">
        <f>C7</f>
        <v>Temperatur</v>
      </c>
      <c r="N7" s="149" t="s">
        <v>157</v>
      </c>
      <c r="O7" s="149" t="s">
        <v>161</v>
      </c>
      <c r="P7" s="149" t="s">
        <v>175</v>
      </c>
      <c r="Q7" s="149" t="s">
        <v>162</v>
      </c>
      <c r="R7" s="149" t="s">
        <v>163</v>
      </c>
      <c r="S7" s="149" t="s">
        <v>13</v>
      </c>
      <c r="T7" s="149" t="s">
        <v>164</v>
      </c>
      <c r="U7" s="150" t="s">
        <v>165</v>
      </c>
      <c r="V7" s="151" t="s">
        <v>166</v>
      </c>
    </row>
    <row r="8" spans="2:22" ht="15.75" thickBot="1" x14ac:dyDescent="0.3">
      <c r="B8" s="144"/>
      <c r="C8" s="152" t="s">
        <v>1</v>
      </c>
      <c r="D8" s="153" t="s">
        <v>17</v>
      </c>
      <c r="E8" s="154"/>
      <c r="F8" s="154"/>
      <c r="G8" s="154"/>
      <c r="H8" s="152" t="s">
        <v>167</v>
      </c>
      <c r="I8" s="153" t="s">
        <v>10</v>
      </c>
      <c r="J8" s="155"/>
      <c r="K8" s="155"/>
      <c r="L8" s="155"/>
      <c r="M8" s="219" t="s">
        <v>1</v>
      </c>
      <c r="N8" s="156" t="s">
        <v>10</v>
      </c>
      <c r="O8" s="156" t="s">
        <v>167</v>
      </c>
      <c r="P8" s="156" t="s">
        <v>5</v>
      </c>
      <c r="Q8" s="156" t="s">
        <v>1</v>
      </c>
      <c r="R8" s="156" t="s">
        <v>1</v>
      </c>
      <c r="S8" s="156" t="s">
        <v>17</v>
      </c>
      <c r="T8" s="156" t="s">
        <v>12</v>
      </c>
      <c r="U8" s="157" t="s">
        <v>74</v>
      </c>
      <c r="V8" s="158" t="s">
        <v>156</v>
      </c>
    </row>
    <row r="9" spans="2:22" x14ac:dyDescent="0.25">
      <c r="B9" s="116" t="s">
        <v>172</v>
      </c>
      <c r="C9" s="131">
        <v>28</v>
      </c>
      <c r="D9" s="132"/>
      <c r="E9" s="127" t="b">
        <f>ISNUMBER(C9)</f>
        <v>1</v>
      </c>
      <c r="F9" s="127" t="b">
        <f>ISNUMBER(D9)</f>
        <v>0</v>
      </c>
      <c r="G9" s="127" t="b">
        <f>AND(OR(E9,F9),NOT(AND(E9,F9)))</f>
        <v>1</v>
      </c>
      <c r="H9" s="133">
        <v>0.43</v>
      </c>
      <c r="I9" s="134"/>
      <c r="J9" s="137" t="b">
        <f>ISNUMBER(H9)</f>
        <v>1</v>
      </c>
      <c r="K9" s="137" t="b">
        <f>ISNUMBER(I9)</f>
        <v>0</v>
      </c>
      <c r="L9" s="137" t="b">
        <f>AND(OR(J9,K9),NOT(AND(J9,K9)))</f>
        <v>1</v>
      </c>
      <c r="M9" s="169">
        <f t="shared" ref="M9:M17" si="0">IF(ISNUMBER(C9),C9,   IF(   AND(G9,L9),      IF(ISNUMBER(H9),Temperatur_p_h_phi(za_luftdruck,D9,H9),Temperatur_h_x(D9,I9/1000)),""    )    )</f>
        <v>28</v>
      </c>
      <c r="N9" s="187">
        <f>IF(AND(G9,L9),IF(ISNUMBER(I9),I9,IF(ISNUMBER(C9),Wassergehalt_p_t_phi(za_luftdruck,C9,H9)*1000,IF(ISNUMBER(D9),Wassergehalt_p_h_phi(za_luftdruck,D9,H9)*1000,""))),"")</f>
        <v>10.147658186621427</v>
      </c>
      <c r="O9" s="188">
        <f t="shared" ref="O9:O17" si="1">IF(AND(ISNUMBER(M9),ISNUMBER(N9),ISNUMBER(S9)),RelativeFeuchte_p_t_x(za_luftdruck,M9,N9/1000),"")</f>
        <v>0.42999999999999994</v>
      </c>
      <c r="P9" s="189">
        <f t="shared" ref="P9:P17" si="2">IF(AND(ISNUMBER(M9),ISNUMBER(N9),ISNUMBER(S9)),PartialdruckWasser_p_x(za_luftdruck,N9/1000),"")</f>
        <v>1.6266229425658713E-2</v>
      </c>
      <c r="Q9" s="190">
        <f>IF(AND(ISNUMBER(M9),ISNUMBER(N9),ISNUMBER(S9)),Taupunkttemperatur(P9),"")</f>
        <v>14.258224388048594</v>
      </c>
      <c r="R9" s="190">
        <f t="shared" ref="R9:R17" si="3">IF(AND(ISNUMBER(M9),ISNUMBER(N9),ISNUMBER(S9)),FeuchtkugelTemp_p_t_phi(za_luftdruck,M9,O9),"")</f>
        <v>18.98707000000001</v>
      </c>
      <c r="S9" s="190">
        <f t="shared" ref="S9:S17" si="4">IF(AND(G9,L9),IF(ISNUMBER(D9),D9,IF(ISNUMBER(H9),Enthalpie_p_t_phi(za_luftdruck,C9,H9),Enthalpie_p_t_x(za_luftdruck,C9,I9/1000))),IF(AND(ISNUMBER(M9),ISNUMBER(N9)),Enthalpie_p_t_x(za_luftdruck,M9,N9/1000),""))</f>
        <v>54.037192022590631</v>
      </c>
      <c r="T9" s="191">
        <f t="shared" ref="T9:T17" si="5">IF(AND(ISNUMBER(M9),ISNUMBER(N9)),Dichte_p_t_x(za_luftdruck,M9,N9/1000),"")</f>
        <v>1.1650177207492498</v>
      </c>
      <c r="U9" s="192">
        <f t="shared" ref="U9:U17" si="6">IF(ISNUMBER(T9),za_mstrom/T9,"")</f>
        <v>8583.560423071307</v>
      </c>
      <c r="V9" s="160"/>
    </row>
    <row r="10" spans="2:22" x14ac:dyDescent="0.25">
      <c r="B10" s="117" t="s">
        <v>176</v>
      </c>
      <c r="C10" s="119">
        <v>29</v>
      </c>
      <c r="D10" s="120"/>
      <c r="E10" s="124" t="b">
        <f t="shared" ref="E10:E27" si="7">ISNUMBER(C10)</f>
        <v>1</v>
      </c>
      <c r="F10" s="124" t="b">
        <f t="shared" ref="F10:F27" si="8">ISNUMBER(D10)</f>
        <v>0</v>
      </c>
      <c r="G10" s="124" t="b">
        <f t="shared" ref="G10:G27" si="9">AND(OR(E10,F10),NOT(AND(E10,F10)))</f>
        <v>1</v>
      </c>
      <c r="H10" s="128"/>
      <c r="I10" s="120"/>
      <c r="J10" s="137" t="b">
        <f t="shared" ref="J10:J17" si="10">ISNUMBER(H10)</f>
        <v>0</v>
      </c>
      <c r="K10" s="137" t="b">
        <f t="shared" ref="K10:K17" si="11">ISNUMBER(I10)</f>
        <v>0</v>
      </c>
      <c r="L10" s="137" t="b">
        <f t="shared" ref="L10:L17" si="12">AND(OR(J10,K10),NOT(AND(J10,K10)))</f>
        <v>0</v>
      </c>
      <c r="M10" s="176">
        <f t="shared" si="0"/>
        <v>29</v>
      </c>
      <c r="N10" s="177">
        <f t="shared" ref="N10:N17" si="13">IF(NOT(L10),N9,IF(AND(G10,L10),IF(ISNUMBER(I10),I10,IF(ISNUMBER(C10),Wassergehalt_p_t_phi(za_luftdruck,C10,H10)*1000,IF(ISNUMBER(D10),Wassergehalt_p_h_phi(za_luftdruck,D10,H10)*1000,""))),""))</f>
        <v>10.147658186621427</v>
      </c>
      <c r="O10" s="178">
        <f t="shared" si="1"/>
        <v>0.40576210278138458</v>
      </c>
      <c r="P10" s="179">
        <f t="shared" si="2"/>
        <v>1.6266229425658713E-2</v>
      </c>
      <c r="Q10" s="180">
        <f t="shared" ref="Q10:Q27" si="14">IF(AND(ISNUMBER(M10),ISNUMBER(N10),ISNUMBER(S10)),Taupunkttemperatur(P10),"")</f>
        <v>14.258224388048594</v>
      </c>
      <c r="R10" s="180">
        <f t="shared" si="3"/>
        <v>19.299050000000005</v>
      </c>
      <c r="S10" s="180">
        <f t="shared" si="4"/>
        <v>55.060869619981474</v>
      </c>
      <c r="T10" s="181">
        <f t="shared" si="5"/>
        <v>1.1611619612895467</v>
      </c>
      <c r="U10" s="193">
        <f t="shared" si="6"/>
        <v>8612.0630311505738</v>
      </c>
      <c r="V10" s="161">
        <f t="shared" ref="V10:V17" si="15">IF(ISNUMBER(T10),za_mstrom/3600*(S10-S9),"")</f>
        <v>2.8435488816412322</v>
      </c>
    </row>
    <row r="11" spans="2:22" x14ac:dyDescent="0.25">
      <c r="B11" s="117" t="s">
        <v>177</v>
      </c>
      <c r="C11" s="119"/>
      <c r="D11" s="120">
        <v>61.2</v>
      </c>
      <c r="E11" s="124" t="b">
        <f t="shared" si="7"/>
        <v>0</v>
      </c>
      <c r="F11" s="124" t="b">
        <f t="shared" si="8"/>
        <v>1</v>
      </c>
      <c r="G11" s="124" t="b">
        <f t="shared" si="9"/>
        <v>1</v>
      </c>
      <c r="H11" s="128">
        <v>0.13</v>
      </c>
      <c r="I11" s="120"/>
      <c r="J11" s="137" t="b">
        <f t="shared" si="10"/>
        <v>1</v>
      </c>
      <c r="K11" s="137" t="b">
        <f t="shared" si="11"/>
        <v>0</v>
      </c>
      <c r="L11" s="137" t="b">
        <f t="shared" si="12"/>
        <v>1</v>
      </c>
      <c r="M11" s="176">
        <f t="shared" si="0"/>
        <v>42.994600000000034</v>
      </c>
      <c r="N11" s="177">
        <f t="shared" si="13"/>
        <v>6.9762999999999913</v>
      </c>
      <c r="O11" s="178">
        <f t="shared" si="1"/>
        <v>0.13000156779885233</v>
      </c>
      <c r="P11" s="179">
        <f t="shared" si="2"/>
        <v>1.1239075263362257E-2</v>
      </c>
      <c r="Q11" s="180">
        <f t="shared" si="14"/>
        <v>8.6769561486355968</v>
      </c>
      <c r="R11" s="180">
        <f t="shared" si="3"/>
        <v>21.091439999999992</v>
      </c>
      <c r="S11" s="180">
        <f t="shared" si="4"/>
        <v>61.2</v>
      </c>
      <c r="T11" s="181">
        <f t="shared" si="5"/>
        <v>1.1118555966161798</v>
      </c>
      <c r="U11" s="193">
        <f t="shared" si="6"/>
        <v>8993.9737052491255</v>
      </c>
      <c r="V11" s="161">
        <f t="shared" si="15"/>
        <v>17.053139944495911</v>
      </c>
    </row>
    <row r="12" spans="2:22" x14ac:dyDescent="0.25">
      <c r="B12" s="117" t="s">
        <v>178</v>
      </c>
      <c r="C12" s="119">
        <v>25.5</v>
      </c>
      <c r="D12" s="120"/>
      <c r="E12" s="124" t="b">
        <f t="shared" si="7"/>
        <v>1</v>
      </c>
      <c r="F12" s="124" t="b">
        <f t="shared" si="8"/>
        <v>0</v>
      </c>
      <c r="G12" s="124" t="b">
        <f t="shared" si="9"/>
        <v>1</v>
      </c>
      <c r="H12" s="128"/>
      <c r="I12" s="120"/>
      <c r="J12" s="137" t="b">
        <f t="shared" si="10"/>
        <v>0</v>
      </c>
      <c r="K12" s="137" t="b">
        <f t="shared" si="11"/>
        <v>0</v>
      </c>
      <c r="L12" s="137" t="b">
        <f t="shared" si="12"/>
        <v>0</v>
      </c>
      <c r="M12" s="176">
        <f t="shared" si="0"/>
        <v>25.5</v>
      </c>
      <c r="N12" s="177">
        <f t="shared" si="13"/>
        <v>6.9762999999999913</v>
      </c>
      <c r="O12" s="178">
        <f t="shared" si="1"/>
        <v>0.34414629357465831</v>
      </c>
      <c r="P12" s="179">
        <f t="shared" si="2"/>
        <v>1.1239075263362257E-2</v>
      </c>
      <c r="Q12" s="180">
        <f t="shared" si="14"/>
        <v>8.6769561486355968</v>
      </c>
      <c r="R12" s="180">
        <f t="shared" si="3"/>
        <v>15.492250000000006</v>
      </c>
      <c r="S12" s="180">
        <f t="shared" si="4"/>
        <v>43.39598197199998</v>
      </c>
      <c r="T12" s="181">
        <f t="shared" si="5"/>
        <v>1.1769869172944369</v>
      </c>
      <c r="U12" s="193">
        <f t="shared" si="6"/>
        <v>8496.2711590602867</v>
      </c>
      <c r="V12" s="161">
        <f t="shared" si="15"/>
        <v>-49.455605633333398</v>
      </c>
    </row>
    <row r="13" spans="2:22" x14ac:dyDescent="0.25">
      <c r="B13" s="117" t="s">
        <v>179</v>
      </c>
      <c r="C13" s="119"/>
      <c r="D13" s="120">
        <v>44.5</v>
      </c>
      <c r="E13" s="124" t="b">
        <f t="shared" si="7"/>
        <v>0</v>
      </c>
      <c r="F13" s="124" t="b">
        <f t="shared" si="8"/>
        <v>1</v>
      </c>
      <c r="G13" s="124" t="b">
        <f t="shared" si="9"/>
        <v>1</v>
      </c>
      <c r="H13" s="128">
        <v>0.6</v>
      </c>
      <c r="I13" s="120"/>
      <c r="J13" s="137" t="b">
        <f t="shared" si="10"/>
        <v>1</v>
      </c>
      <c r="K13" s="137" t="b">
        <f t="shared" si="11"/>
        <v>0</v>
      </c>
      <c r="L13" s="137" t="b">
        <f t="shared" si="12"/>
        <v>1</v>
      </c>
      <c r="M13" s="176">
        <f t="shared" si="0"/>
        <v>20.909299999999984</v>
      </c>
      <c r="N13" s="177">
        <f t="shared" si="13"/>
        <v>9.2507000000000126</v>
      </c>
      <c r="O13" s="178">
        <f t="shared" si="1"/>
        <v>0.60000310309138782</v>
      </c>
      <c r="P13" s="179">
        <f t="shared" si="2"/>
        <v>1.4849517886860402E-2</v>
      </c>
      <c r="Q13" s="180">
        <f t="shared" si="14"/>
        <v>12.859154239648969</v>
      </c>
      <c r="R13" s="180">
        <f t="shared" si="3"/>
        <v>15.878010000000003</v>
      </c>
      <c r="S13" s="180">
        <f t="shared" si="4"/>
        <v>44.5</v>
      </c>
      <c r="T13" s="181">
        <f t="shared" si="5"/>
        <v>1.193744465450425</v>
      </c>
      <c r="U13" s="193">
        <f t="shared" si="6"/>
        <v>8377.0021888451556</v>
      </c>
      <c r="V13" s="161">
        <f t="shared" si="15"/>
        <v>3.0667167444444998</v>
      </c>
    </row>
    <row r="14" spans="2:22" x14ac:dyDescent="0.25">
      <c r="B14" s="117"/>
      <c r="C14" s="119"/>
      <c r="D14" s="120"/>
      <c r="E14" s="124" t="b">
        <f t="shared" si="7"/>
        <v>0</v>
      </c>
      <c r="F14" s="124" t="b">
        <f t="shared" si="8"/>
        <v>0</v>
      </c>
      <c r="G14" s="124" t="b">
        <f t="shared" si="9"/>
        <v>0</v>
      </c>
      <c r="H14" s="128"/>
      <c r="I14" s="120"/>
      <c r="J14" s="137" t="b">
        <f t="shared" si="10"/>
        <v>0</v>
      </c>
      <c r="K14" s="137" t="b">
        <f t="shared" si="11"/>
        <v>0</v>
      </c>
      <c r="L14" s="137" t="b">
        <f t="shared" si="12"/>
        <v>0</v>
      </c>
      <c r="M14" s="176" t="str">
        <f t="shared" si="0"/>
        <v/>
      </c>
      <c r="N14" s="177">
        <f t="shared" si="13"/>
        <v>9.2507000000000126</v>
      </c>
      <c r="O14" s="178" t="str">
        <f t="shared" si="1"/>
        <v/>
      </c>
      <c r="P14" s="179" t="str">
        <f t="shared" si="2"/>
        <v/>
      </c>
      <c r="Q14" s="180" t="str">
        <f t="shared" si="14"/>
        <v/>
      </c>
      <c r="R14" s="180" t="str">
        <f t="shared" si="3"/>
        <v/>
      </c>
      <c r="S14" s="180" t="str">
        <f t="shared" si="4"/>
        <v/>
      </c>
      <c r="T14" s="181" t="str">
        <f t="shared" si="5"/>
        <v/>
      </c>
      <c r="U14" s="193" t="str">
        <f t="shared" si="6"/>
        <v/>
      </c>
      <c r="V14" s="161" t="str">
        <f t="shared" si="15"/>
        <v/>
      </c>
    </row>
    <row r="15" spans="2:22" x14ac:dyDescent="0.25">
      <c r="B15" s="117"/>
      <c r="C15" s="119"/>
      <c r="D15" s="120"/>
      <c r="E15" s="124" t="b">
        <f t="shared" si="7"/>
        <v>0</v>
      </c>
      <c r="F15" s="124" t="b">
        <f t="shared" si="8"/>
        <v>0</v>
      </c>
      <c r="G15" s="124" t="b">
        <f t="shared" si="9"/>
        <v>0</v>
      </c>
      <c r="H15" s="128"/>
      <c r="I15" s="120"/>
      <c r="J15" s="137" t="b">
        <f t="shared" si="10"/>
        <v>0</v>
      </c>
      <c r="K15" s="137" t="b">
        <f t="shared" si="11"/>
        <v>0</v>
      </c>
      <c r="L15" s="137" t="b">
        <f t="shared" si="12"/>
        <v>0</v>
      </c>
      <c r="M15" s="176" t="str">
        <f t="shared" si="0"/>
        <v/>
      </c>
      <c r="N15" s="177">
        <f t="shared" si="13"/>
        <v>9.2507000000000126</v>
      </c>
      <c r="O15" s="178" t="str">
        <f t="shared" si="1"/>
        <v/>
      </c>
      <c r="P15" s="179" t="str">
        <f t="shared" si="2"/>
        <v/>
      </c>
      <c r="Q15" s="180" t="str">
        <f t="shared" si="14"/>
        <v/>
      </c>
      <c r="R15" s="180" t="str">
        <f t="shared" si="3"/>
        <v/>
      </c>
      <c r="S15" s="180" t="str">
        <f t="shared" si="4"/>
        <v/>
      </c>
      <c r="T15" s="181" t="str">
        <f t="shared" si="5"/>
        <v/>
      </c>
      <c r="U15" s="193" t="str">
        <f t="shared" si="6"/>
        <v/>
      </c>
      <c r="V15" s="161" t="str">
        <f t="shared" si="15"/>
        <v/>
      </c>
    </row>
    <row r="16" spans="2:22" x14ac:dyDescent="0.25">
      <c r="B16" s="117"/>
      <c r="C16" s="119"/>
      <c r="D16" s="120"/>
      <c r="E16" s="124" t="b">
        <f t="shared" si="7"/>
        <v>0</v>
      </c>
      <c r="F16" s="124" t="b">
        <f t="shared" si="8"/>
        <v>0</v>
      </c>
      <c r="G16" s="124" t="b">
        <f t="shared" si="9"/>
        <v>0</v>
      </c>
      <c r="H16" s="128"/>
      <c r="I16" s="120"/>
      <c r="J16" s="137" t="b">
        <f t="shared" si="10"/>
        <v>0</v>
      </c>
      <c r="K16" s="137" t="b">
        <f t="shared" si="11"/>
        <v>0</v>
      </c>
      <c r="L16" s="137" t="b">
        <f t="shared" si="12"/>
        <v>0</v>
      </c>
      <c r="M16" s="176" t="str">
        <f t="shared" si="0"/>
        <v/>
      </c>
      <c r="N16" s="177">
        <f t="shared" si="13"/>
        <v>9.2507000000000126</v>
      </c>
      <c r="O16" s="178" t="str">
        <f t="shared" si="1"/>
        <v/>
      </c>
      <c r="P16" s="179" t="str">
        <f t="shared" si="2"/>
        <v/>
      </c>
      <c r="Q16" s="180" t="str">
        <f t="shared" si="14"/>
        <v/>
      </c>
      <c r="R16" s="180" t="str">
        <f t="shared" si="3"/>
        <v/>
      </c>
      <c r="S16" s="180" t="str">
        <f t="shared" si="4"/>
        <v/>
      </c>
      <c r="T16" s="181" t="str">
        <f t="shared" si="5"/>
        <v/>
      </c>
      <c r="U16" s="193" t="str">
        <f t="shared" si="6"/>
        <v/>
      </c>
      <c r="V16" s="161" t="str">
        <f t="shared" si="15"/>
        <v/>
      </c>
    </row>
    <row r="17" spans="2:22" ht="15.75" thickBot="1" x14ac:dyDescent="0.3">
      <c r="B17" s="162" t="s">
        <v>168</v>
      </c>
      <c r="C17" s="163"/>
      <c r="D17" s="164"/>
      <c r="E17" s="126" t="b">
        <f t="shared" si="7"/>
        <v>0</v>
      </c>
      <c r="F17" s="126" t="b">
        <f t="shared" si="8"/>
        <v>0</v>
      </c>
      <c r="G17" s="126" t="b">
        <f t="shared" si="9"/>
        <v>0</v>
      </c>
      <c r="H17" s="165"/>
      <c r="I17" s="164"/>
      <c r="J17" s="166" t="b">
        <f t="shared" si="10"/>
        <v>0</v>
      </c>
      <c r="K17" s="166" t="b">
        <f t="shared" si="11"/>
        <v>0</v>
      </c>
      <c r="L17" s="166" t="b">
        <f t="shared" si="12"/>
        <v>0</v>
      </c>
      <c r="M17" s="194" t="str">
        <f t="shared" si="0"/>
        <v/>
      </c>
      <c r="N17" s="195">
        <f t="shared" si="13"/>
        <v>9.2507000000000126</v>
      </c>
      <c r="O17" s="196" t="str">
        <f t="shared" si="1"/>
        <v/>
      </c>
      <c r="P17" s="197" t="str">
        <f t="shared" si="2"/>
        <v/>
      </c>
      <c r="Q17" s="198" t="str">
        <f t="shared" si="14"/>
        <v/>
      </c>
      <c r="R17" s="198" t="str">
        <f t="shared" si="3"/>
        <v/>
      </c>
      <c r="S17" s="198" t="str">
        <f t="shared" si="4"/>
        <v/>
      </c>
      <c r="T17" s="199" t="str">
        <f t="shared" si="5"/>
        <v/>
      </c>
      <c r="U17" s="200" t="str">
        <f t="shared" si="6"/>
        <v/>
      </c>
      <c r="V17" s="167" t="str">
        <f t="shared" si="15"/>
        <v/>
      </c>
    </row>
    <row r="18" spans="2:22" ht="15.75" thickBot="1" x14ac:dyDescent="0.3">
      <c r="B18" s="206"/>
      <c r="C18" s="207"/>
      <c r="D18" s="208"/>
      <c r="E18" s="209"/>
      <c r="F18" s="209"/>
      <c r="G18" s="209"/>
      <c r="H18" s="210"/>
      <c r="I18" s="211"/>
      <c r="J18" s="209"/>
      <c r="K18" s="209"/>
      <c r="L18" s="209"/>
      <c r="M18" s="212"/>
      <c r="N18" s="213"/>
      <c r="O18" s="214"/>
      <c r="P18" s="215"/>
      <c r="Q18" s="216"/>
      <c r="R18" s="216"/>
      <c r="S18" s="216"/>
      <c r="T18" s="217"/>
      <c r="U18" s="123">
        <v>10000</v>
      </c>
      <c r="V18" s="218" t="s">
        <v>44</v>
      </c>
    </row>
    <row r="19" spans="2:22" x14ac:dyDescent="0.25">
      <c r="B19" s="162" t="s">
        <v>173</v>
      </c>
      <c r="C19" s="131">
        <v>25</v>
      </c>
      <c r="D19" s="132"/>
      <c r="E19" s="127" t="b">
        <f t="shared" si="7"/>
        <v>1</v>
      </c>
      <c r="F19" s="127" t="b">
        <f t="shared" si="8"/>
        <v>0</v>
      </c>
      <c r="G19" s="127" t="b">
        <f t="shared" si="9"/>
        <v>1</v>
      </c>
      <c r="H19" s="133"/>
      <c r="I19" s="132">
        <v>11.5</v>
      </c>
      <c r="J19" s="136" t="b">
        <f t="shared" ref="J19:J27" si="16">ISNUMBER(H19)</f>
        <v>0</v>
      </c>
      <c r="K19" s="136" t="b">
        <f t="shared" ref="K19:K27" si="17">ISNUMBER(I19)</f>
        <v>1</v>
      </c>
      <c r="L19" s="136" t="b">
        <f t="shared" ref="L19:L27" si="18">AND(OR(J19,K19),NOT(AND(J19,K19)))</f>
        <v>1</v>
      </c>
      <c r="M19" s="169">
        <f t="shared" ref="M19:M27" si="19">IF(ISNUMBER(C19),C19,   IF(   AND(G19,L19),      IF(ISNUMBER(H19),Temperatur_p_h_phi(za_luftdruck,D19,H19),Temperatur_h_x(D19,I19/1000)),""    )    )</f>
        <v>25</v>
      </c>
      <c r="N19" s="170">
        <f>IF(AND(G19,L19),IF(ISNUMBER(I19),I19,IF(ISNUMBER(C19),Wassergehalt_p_t_phi(za_luftdruck,C19,H19)*1000,IF(ISNUMBER(D19),Wassergehalt_p_h_phi(za_luftdruck,D19,H19)*1000,""))),"")</f>
        <v>11.5</v>
      </c>
      <c r="O19" s="171">
        <f t="shared" ref="O19:O27" si="20">IF(AND(ISNUMBER(M19),ISNUMBER(N19),ISNUMBER(S19)),RelativeFeuchte_p_t_x(za_luftdruck,M19,N19/1000),"")</f>
        <v>0.58025035482468013</v>
      </c>
      <c r="P19" s="172">
        <f t="shared" ref="P19:P27" si="21">IF(AND(ISNUMBER(M19),ISNUMBER(N19),ISNUMBER(S19)),PartialdruckWasser_p_x(za_luftdruck,N19/1000),"")</f>
        <v>1.839461781514877E-2</v>
      </c>
      <c r="Q19" s="173">
        <f t="shared" si="14"/>
        <v>16.171183180736787</v>
      </c>
      <c r="R19" s="173">
        <f t="shared" ref="R19:R27" si="22">IF(AND(ISNUMBER(M19),ISNUMBER(N19),ISNUMBER(S19)),FeuchtkugelTemp_p_t_phi(za_luftdruck,M19,O19),"")</f>
        <v>19.101519999999979</v>
      </c>
      <c r="S19" s="173">
        <f t="shared" ref="S19:S27" si="23">IF(AND(G19,L19),IF(ISNUMBER(D19),D19,IF(ISNUMBER(H19),Enthalpie_p_t_phi(za_luftdruck,C19,H19),Enthalpie_p_t_x(za_luftdruck,C19,I19/1000))),IF(AND(ISNUMBER(M19),ISNUMBER(N19)),Enthalpie_p_t_x(za_luftdruck,M19,N19/1000),""))</f>
        <v>54.411249999999995</v>
      </c>
      <c r="T19" s="174">
        <f t="shared" ref="T19:T27" si="24">IF(AND(ISNUMBER(M19),ISNUMBER(N19)),Dichte_p_t_x(za_luftdruck,M19,N19/1000),"")</f>
        <v>1.1758000546772764</v>
      </c>
      <c r="U19" s="175">
        <f t="shared" ref="U19:U27" si="25">IF(ISNUMBER(T19),za_mstrom2/T19,"")</f>
        <v>8504.8473677309994</v>
      </c>
      <c r="V19" s="168"/>
    </row>
    <row r="20" spans="2:22" x14ac:dyDescent="0.25">
      <c r="B20" s="117" t="s">
        <v>179</v>
      </c>
      <c r="C20" s="119"/>
      <c r="D20" s="120">
        <v>53</v>
      </c>
      <c r="E20" s="124" t="b">
        <f t="shared" si="7"/>
        <v>0</v>
      </c>
      <c r="F20" s="124" t="b">
        <f t="shared" si="8"/>
        <v>1</v>
      </c>
      <c r="G20" s="124" t="b">
        <f t="shared" si="9"/>
        <v>1</v>
      </c>
      <c r="H20" s="128">
        <v>0.9</v>
      </c>
      <c r="I20" s="120"/>
      <c r="J20" s="137" t="b">
        <f t="shared" si="16"/>
        <v>1</v>
      </c>
      <c r="K20" s="137" t="b">
        <f t="shared" si="17"/>
        <v>0</v>
      </c>
      <c r="L20" s="137" t="b">
        <f t="shared" si="18"/>
        <v>1</v>
      </c>
      <c r="M20" s="176">
        <f t="shared" si="19"/>
        <v>19.809599999999982</v>
      </c>
      <c r="N20" s="177">
        <f t="shared" ref="N20:N27" si="26">IF(NOT(L20),N19,IF(AND(G20,L20),IF(ISNUMBER(I20),I20,IF(ISNUMBER(C20),Wassergehalt_p_t_phi(za_luftdruck,C20,H20)*1000,IF(ISNUMBER(D20),Wassergehalt_p_h_phi(za_luftdruck,D20,H20)*1000,""))),""))</f>
        <v>13.043000000000015</v>
      </c>
      <c r="O20" s="178">
        <f t="shared" si="20"/>
        <v>0.89999847565128044</v>
      </c>
      <c r="P20" s="179">
        <f t="shared" si="21"/>
        <v>2.0812001720641366E-2</v>
      </c>
      <c r="Q20" s="180">
        <f t="shared" si="14"/>
        <v>18.121477262057653</v>
      </c>
      <c r="R20" s="180">
        <f t="shared" si="22"/>
        <v>18.667080000000002</v>
      </c>
      <c r="S20" s="180">
        <f t="shared" si="23"/>
        <v>53</v>
      </c>
      <c r="T20" s="181">
        <f t="shared" si="24"/>
        <v>1.1955451415083242</v>
      </c>
      <c r="U20" s="175">
        <f t="shared" si="25"/>
        <v>8364.3851267579867</v>
      </c>
      <c r="V20" s="161">
        <f t="shared" ref="V20:V27" si="27">IF(ISNUMBER(T20),za_mstrom/3600*(S20-S19),"")</f>
        <v>-3.920138888888876</v>
      </c>
    </row>
    <row r="21" spans="2:22" x14ac:dyDescent="0.25">
      <c r="B21" s="117" t="s">
        <v>178</v>
      </c>
      <c r="C21" s="119">
        <v>40</v>
      </c>
      <c r="D21" s="120"/>
      <c r="E21" s="124" t="b">
        <f t="shared" si="7"/>
        <v>1</v>
      </c>
      <c r="F21" s="124" t="b">
        <f t="shared" si="8"/>
        <v>0</v>
      </c>
      <c r="G21" s="124" t="b">
        <f t="shared" si="9"/>
        <v>1</v>
      </c>
      <c r="H21" s="128"/>
      <c r="I21" s="120"/>
      <c r="J21" s="137" t="b">
        <f t="shared" si="16"/>
        <v>0</v>
      </c>
      <c r="K21" s="137" t="b">
        <f t="shared" si="17"/>
        <v>0</v>
      </c>
      <c r="L21" s="137" t="b">
        <f t="shared" si="18"/>
        <v>0</v>
      </c>
      <c r="M21" s="176">
        <f t="shared" si="19"/>
        <v>40</v>
      </c>
      <c r="N21" s="177">
        <f t="shared" si="26"/>
        <v>13.043000000000015</v>
      </c>
      <c r="O21" s="178">
        <f t="shared" si="20"/>
        <v>0.281916377709445</v>
      </c>
      <c r="P21" s="179">
        <f t="shared" si="21"/>
        <v>2.0812001720641366E-2</v>
      </c>
      <c r="Q21" s="180">
        <f t="shared" si="14"/>
        <v>18.121477262057653</v>
      </c>
      <c r="R21" s="180">
        <f t="shared" si="22"/>
        <v>24.393139999999999</v>
      </c>
      <c r="S21" s="180">
        <f t="shared" si="23"/>
        <v>73.77885510000003</v>
      </c>
      <c r="T21" s="181">
        <f t="shared" si="24"/>
        <v>1.118462163302641</v>
      </c>
      <c r="U21" s="175">
        <f t="shared" si="25"/>
        <v>8940.8478249023538</v>
      </c>
      <c r="V21" s="161">
        <f t="shared" si="27"/>
        <v>57.719041944444527</v>
      </c>
    </row>
    <row r="22" spans="2:22" x14ac:dyDescent="0.25">
      <c r="B22" s="117" t="s">
        <v>185</v>
      </c>
      <c r="C22" s="119">
        <v>70</v>
      </c>
      <c r="D22" s="120"/>
      <c r="E22" s="124" t="b">
        <f t="shared" si="7"/>
        <v>1</v>
      </c>
      <c r="F22" s="124" t="b">
        <f t="shared" si="8"/>
        <v>0</v>
      </c>
      <c r="G22" s="124" t="b">
        <f t="shared" si="9"/>
        <v>1</v>
      </c>
      <c r="H22" s="128"/>
      <c r="I22" s="120"/>
      <c r="J22" s="137" t="b">
        <f t="shared" si="16"/>
        <v>0</v>
      </c>
      <c r="K22" s="137" t="b">
        <f t="shared" si="17"/>
        <v>0</v>
      </c>
      <c r="L22" s="137" t="b">
        <f t="shared" si="18"/>
        <v>0</v>
      </c>
      <c r="M22" s="176">
        <f t="shared" si="19"/>
        <v>70</v>
      </c>
      <c r="N22" s="177">
        <f t="shared" si="26"/>
        <v>13.043000000000015</v>
      </c>
      <c r="O22" s="178">
        <f t="shared" si="20"/>
        <v>6.6793949954808113E-2</v>
      </c>
      <c r="P22" s="179">
        <f t="shared" si="21"/>
        <v>2.0812001720641366E-2</v>
      </c>
      <c r="Q22" s="180">
        <f t="shared" si="14"/>
        <v>18.121477262057653</v>
      </c>
      <c r="R22" s="180">
        <f t="shared" si="22"/>
        <v>30.928550000000001</v>
      </c>
      <c r="S22" s="180">
        <f t="shared" si="23"/>
        <v>104.65248030000004</v>
      </c>
      <c r="T22" s="181">
        <f t="shared" si="24"/>
        <v>1.0206802460679645</v>
      </c>
      <c r="U22" s="175">
        <f t="shared" si="25"/>
        <v>9797.387613333045</v>
      </c>
      <c r="V22" s="161">
        <f t="shared" si="27"/>
        <v>85.760070000000013</v>
      </c>
    </row>
    <row r="23" spans="2:22" x14ac:dyDescent="0.25">
      <c r="B23" s="117"/>
      <c r="C23" s="119"/>
      <c r="D23" s="120">
        <v>105.6</v>
      </c>
      <c r="E23" s="124" t="b">
        <f t="shared" si="7"/>
        <v>0</v>
      </c>
      <c r="F23" s="124" t="b">
        <f t="shared" si="8"/>
        <v>1</v>
      </c>
      <c r="G23" s="124" t="b">
        <f t="shared" si="9"/>
        <v>1</v>
      </c>
      <c r="H23" s="128"/>
      <c r="I23" s="120">
        <v>17.8</v>
      </c>
      <c r="J23" s="137" t="b">
        <f t="shared" si="16"/>
        <v>0</v>
      </c>
      <c r="K23" s="137" t="b">
        <f t="shared" si="17"/>
        <v>1</v>
      </c>
      <c r="L23" s="137" t="b">
        <f t="shared" si="18"/>
        <v>1</v>
      </c>
      <c r="M23" s="176">
        <f t="shared" si="19"/>
        <v>58.850995699687111</v>
      </c>
      <c r="N23" s="177">
        <f t="shared" si="26"/>
        <v>17.8</v>
      </c>
      <c r="O23" s="178">
        <f t="shared" si="20"/>
        <v>0.14902689790815554</v>
      </c>
      <c r="P23" s="179">
        <f t="shared" si="21"/>
        <v>2.8191299047591999E-2</v>
      </c>
      <c r="Q23" s="180">
        <f t="shared" si="14"/>
        <v>23.045075947346451</v>
      </c>
      <c r="R23" s="180">
        <f t="shared" si="22"/>
        <v>31.101889999999976</v>
      </c>
      <c r="S23" s="180">
        <f t="shared" si="23"/>
        <v>105.6</v>
      </c>
      <c r="T23" s="181">
        <f t="shared" si="24"/>
        <v>1.0520287794274572</v>
      </c>
      <c r="U23" s="175">
        <f t="shared" si="25"/>
        <v>9505.4433828723522</v>
      </c>
      <c r="V23" s="161">
        <f t="shared" si="27"/>
        <v>2.6319991666665503</v>
      </c>
    </row>
    <row r="24" spans="2:22" x14ac:dyDescent="0.25">
      <c r="B24" s="117"/>
      <c r="C24" s="119">
        <v>59.6</v>
      </c>
      <c r="D24" s="120"/>
      <c r="E24" s="124" t="b">
        <f t="shared" si="7"/>
        <v>1</v>
      </c>
      <c r="F24" s="124" t="b">
        <f t="shared" si="8"/>
        <v>0</v>
      </c>
      <c r="G24" s="124" t="b">
        <f t="shared" si="9"/>
        <v>1</v>
      </c>
      <c r="H24" s="128"/>
      <c r="I24" s="120"/>
      <c r="J24" s="137" t="b">
        <f t="shared" si="16"/>
        <v>0</v>
      </c>
      <c r="K24" s="137" t="b">
        <f t="shared" si="17"/>
        <v>0</v>
      </c>
      <c r="L24" s="137" t="b">
        <f t="shared" si="18"/>
        <v>0</v>
      </c>
      <c r="M24" s="176">
        <f t="shared" si="19"/>
        <v>59.6</v>
      </c>
      <c r="N24" s="177">
        <f t="shared" si="26"/>
        <v>17.8</v>
      </c>
      <c r="O24" s="178">
        <f t="shared" si="20"/>
        <v>0.143912651889718</v>
      </c>
      <c r="P24" s="179">
        <f t="shared" si="21"/>
        <v>2.8191299047591999E-2</v>
      </c>
      <c r="Q24" s="180">
        <f t="shared" si="14"/>
        <v>23.045075947346451</v>
      </c>
      <c r="R24" s="180">
        <f t="shared" si="22"/>
        <v>31.24311999999999</v>
      </c>
      <c r="S24" s="180">
        <f t="shared" si="23"/>
        <v>106.3775144</v>
      </c>
      <c r="T24" s="181">
        <f t="shared" si="24"/>
        <v>1.0496607130718028</v>
      </c>
      <c r="U24" s="175">
        <f t="shared" si="25"/>
        <v>9526.8879509982598</v>
      </c>
      <c r="V24" s="161">
        <f t="shared" si="27"/>
        <v>2.1597622222222252</v>
      </c>
    </row>
    <row r="25" spans="2:22" x14ac:dyDescent="0.25">
      <c r="B25" s="117"/>
      <c r="C25" s="119"/>
      <c r="D25" s="120"/>
      <c r="E25" s="124" t="b">
        <f t="shared" si="7"/>
        <v>0</v>
      </c>
      <c r="F25" s="124" t="b">
        <f t="shared" si="8"/>
        <v>0</v>
      </c>
      <c r="G25" s="124" t="b">
        <f t="shared" si="9"/>
        <v>0</v>
      </c>
      <c r="H25" s="129"/>
      <c r="I25" s="120"/>
      <c r="J25" s="137" t="b">
        <f t="shared" si="16"/>
        <v>0</v>
      </c>
      <c r="K25" s="137" t="b">
        <f t="shared" si="17"/>
        <v>0</v>
      </c>
      <c r="L25" s="137" t="b">
        <f t="shared" si="18"/>
        <v>0</v>
      </c>
      <c r="M25" s="176" t="str">
        <f t="shared" si="19"/>
        <v/>
      </c>
      <c r="N25" s="177">
        <f t="shared" si="26"/>
        <v>17.8</v>
      </c>
      <c r="O25" s="178" t="str">
        <f t="shared" si="20"/>
        <v/>
      </c>
      <c r="P25" s="179" t="str">
        <f t="shared" si="21"/>
        <v/>
      </c>
      <c r="Q25" s="180" t="str">
        <f t="shared" si="14"/>
        <v/>
      </c>
      <c r="R25" s="180" t="str">
        <f t="shared" si="22"/>
        <v/>
      </c>
      <c r="S25" s="180" t="str">
        <f t="shared" si="23"/>
        <v/>
      </c>
      <c r="T25" s="181" t="str">
        <f t="shared" si="24"/>
        <v/>
      </c>
      <c r="U25" s="175" t="str">
        <f t="shared" si="25"/>
        <v/>
      </c>
      <c r="V25" s="161" t="str">
        <f t="shared" si="27"/>
        <v/>
      </c>
    </row>
    <row r="26" spans="2:22" x14ac:dyDescent="0.25">
      <c r="B26" s="117"/>
      <c r="C26" s="119"/>
      <c r="D26" s="120"/>
      <c r="E26" s="124" t="b">
        <f t="shared" si="7"/>
        <v>0</v>
      </c>
      <c r="F26" s="124" t="b">
        <f t="shared" si="8"/>
        <v>0</v>
      </c>
      <c r="G26" s="124" t="b">
        <f t="shared" si="9"/>
        <v>0</v>
      </c>
      <c r="H26" s="129"/>
      <c r="I26" s="120"/>
      <c r="J26" s="137" t="b">
        <f t="shared" si="16"/>
        <v>0</v>
      </c>
      <c r="K26" s="137" t="b">
        <f t="shared" si="17"/>
        <v>0</v>
      </c>
      <c r="L26" s="137" t="b">
        <f t="shared" si="18"/>
        <v>0</v>
      </c>
      <c r="M26" s="176" t="str">
        <f t="shared" si="19"/>
        <v/>
      </c>
      <c r="N26" s="177">
        <f t="shared" si="26"/>
        <v>17.8</v>
      </c>
      <c r="O26" s="178" t="str">
        <f t="shared" si="20"/>
        <v/>
      </c>
      <c r="P26" s="179" t="str">
        <f t="shared" si="21"/>
        <v/>
      </c>
      <c r="Q26" s="180" t="str">
        <f t="shared" si="14"/>
        <v/>
      </c>
      <c r="R26" s="180" t="str">
        <f t="shared" si="22"/>
        <v/>
      </c>
      <c r="S26" s="180" t="str">
        <f t="shared" si="23"/>
        <v/>
      </c>
      <c r="T26" s="181" t="str">
        <f t="shared" si="24"/>
        <v/>
      </c>
      <c r="U26" s="175" t="str">
        <f t="shared" si="25"/>
        <v/>
      </c>
      <c r="V26" s="161" t="str">
        <f t="shared" si="27"/>
        <v/>
      </c>
    </row>
    <row r="27" spans="2:22" ht="15.75" thickBot="1" x14ac:dyDescent="0.3">
      <c r="B27" s="118" t="s">
        <v>169</v>
      </c>
      <c r="C27" s="121"/>
      <c r="D27" s="122"/>
      <c r="E27" s="125" t="b">
        <f t="shared" si="7"/>
        <v>0</v>
      </c>
      <c r="F27" s="125" t="b">
        <f t="shared" si="8"/>
        <v>0</v>
      </c>
      <c r="G27" s="125" t="b">
        <f t="shared" si="9"/>
        <v>0</v>
      </c>
      <c r="H27" s="130"/>
      <c r="I27" s="122"/>
      <c r="J27" s="202" t="b">
        <f t="shared" si="16"/>
        <v>0</v>
      </c>
      <c r="K27" s="202" t="b">
        <f t="shared" si="17"/>
        <v>0</v>
      </c>
      <c r="L27" s="202" t="b">
        <f t="shared" si="18"/>
        <v>0</v>
      </c>
      <c r="M27" s="203" t="str">
        <f t="shared" si="19"/>
        <v/>
      </c>
      <c r="N27" s="182">
        <f t="shared" si="26"/>
        <v>17.8</v>
      </c>
      <c r="O27" s="183" t="str">
        <f t="shared" si="20"/>
        <v/>
      </c>
      <c r="P27" s="184" t="str">
        <f t="shared" si="21"/>
        <v/>
      </c>
      <c r="Q27" s="185" t="str">
        <f t="shared" si="14"/>
        <v/>
      </c>
      <c r="R27" s="185" t="str">
        <f t="shared" si="22"/>
        <v/>
      </c>
      <c r="S27" s="185" t="str">
        <f t="shared" si="23"/>
        <v/>
      </c>
      <c r="T27" s="204" t="str">
        <f t="shared" si="24"/>
        <v/>
      </c>
      <c r="U27" s="186" t="str">
        <f t="shared" si="25"/>
        <v/>
      </c>
      <c r="V27" s="205" t="str">
        <f t="shared" si="27"/>
        <v/>
      </c>
    </row>
    <row r="31" spans="2:22" x14ac:dyDescent="0.25">
      <c r="D31" s="138"/>
    </row>
    <row r="32" spans="2:22" x14ac:dyDescent="0.25">
      <c r="D32" s="139"/>
    </row>
    <row r="33" spans="4:20" x14ac:dyDescent="0.25">
      <c r="D33" s="138"/>
    </row>
    <row r="34" spans="4:20" x14ac:dyDescent="0.25">
      <c r="O34" s="140"/>
    </row>
    <row r="35" spans="4:20" x14ac:dyDescent="0.25">
      <c r="T35" s="141"/>
    </row>
  </sheetData>
  <sheetProtection sheet="1" objects="1" scenarios="1"/>
  <mergeCells count="2">
    <mergeCell ref="C6:D6"/>
    <mergeCell ref="H6:S6"/>
  </mergeCells>
  <conditionalFormatting sqref="H9:H27">
    <cfRule type="cellIs" dxfId="2" priority="1" stopIfTrue="1" operator="greaterThan">
      <formula>100</formula>
    </cfRule>
    <cfRule type="cellIs" dxfId="1" priority="2" stopIfTrue="1" operator="lessThan">
      <formula>0</formula>
    </cfRule>
  </conditionalFormatting>
  <conditionalFormatting sqref="U7:V17 U19:V27 M9:R27">
    <cfRule type="cellIs" dxfId="0" priority="3" stopIfTrue="1" operator="equal">
      <formula>"Nebel"</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dimension ref="A1:AE255"/>
  <sheetViews>
    <sheetView workbookViewId="0">
      <selection activeCell="C3" sqref="C3"/>
    </sheetView>
  </sheetViews>
  <sheetFormatPr baseColWidth="10" defaultRowHeight="15" x14ac:dyDescent="0.25"/>
  <cols>
    <col min="3" max="3" width="151.85546875" customWidth="1"/>
    <col min="4" max="4" width="38" customWidth="1"/>
    <col min="6" max="6" width="5.5703125" bestFit="1" customWidth="1"/>
    <col min="7" max="21" width="6.7109375" customWidth="1"/>
    <col min="22" max="22" width="7.5703125" customWidth="1"/>
    <col min="23" max="31" width="6.7109375" customWidth="1"/>
  </cols>
  <sheetData>
    <row r="1" spans="1:31" ht="15.75" thickBot="1" x14ac:dyDescent="0.3">
      <c r="A1" s="63" t="s">
        <v>3</v>
      </c>
    </row>
    <row r="2" spans="1:31" ht="15.75" thickBot="1" x14ac:dyDescent="0.3">
      <c r="A2" s="226">
        <v>1.01325</v>
      </c>
      <c r="B2" t="s">
        <v>5</v>
      </c>
      <c r="G2" s="239" t="s">
        <v>143</v>
      </c>
      <c r="H2" s="240"/>
      <c r="I2" s="240"/>
      <c r="J2" s="240"/>
      <c r="K2" s="240"/>
      <c r="L2" s="240"/>
      <c r="M2" s="240"/>
      <c r="N2" s="240"/>
      <c r="O2" s="240"/>
      <c r="P2" s="240"/>
      <c r="Q2" s="240"/>
      <c r="R2" s="240"/>
      <c r="S2" s="240"/>
      <c r="T2" s="240"/>
      <c r="U2" s="241"/>
      <c r="V2" s="239" t="s">
        <v>187</v>
      </c>
      <c r="W2" s="240"/>
      <c r="X2" s="240"/>
      <c r="Y2" s="240"/>
      <c r="Z2" s="240"/>
      <c r="AA2" s="240"/>
      <c r="AB2" s="240"/>
      <c r="AC2" s="240"/>
      <c r="AD2" s="240"/>
      <c r="AE2" s="241"/>
    </row>
    <row r="3" spans="1:31" x14ac:dyDescent="0.25">
      <c r="G3" s="66"/>
      <c r="H3" s="1"/>
      <c r="I3" s="1"/>
      <c r="J3" s="1"/>
      <c r="K3" s="1"/>
      <c r="L3" s="1"/>
      <c r="M3" s="1"/>
      <c r="N3" s="1"/>
      <c r="O3" s="1"/>
      <c r="P3" s="1"/>
      <c r="Q3" s="1"/>
      <c r="R3" s="1"/>
      <c r="S3" s="1"/>
      <c r="T3" s="1"/>
      <c r="U3" s="67"/>
      <c r="V3" s="66"/>
      <c r="W3" s="1"/>
      <c r="X3" s="1"/>
      <c r="Y3" s="1"/>
      <c r="Z3" s="1"/>
      <c r="AA3" s="1"/>
      <c r="AB3" s="1"/>
      <c r="AC3" s="1"/>
      <c r="AD3" s="1"/>
      <c r="AE3" s="67"/>
    </row>
    <row r="4" spans="1:31" x14ac:dyDescent="0.25">
      <c r="E4" s="66"/>
      <c r="F4" s="67"/>
      <c r="G4" s="66">
        <v>-20</v>
      </c>
      <c r="H4" s="1">
        <v>-10</v>
      </c>
      <c r="I4" s="1">
        <v>0</v>
      </c>
      <c r="J4" s="1">
        <v>10</v>
      </c>
      <c r="K4" s="1">
        <v>20</v>
      </c>
      <c r="L4" s="1">
        <v>30</v>
      </c>
      <c r="M4" s="1">
        <v>40</v>
      </c>
      <c r="N4" s="1">
        <v>50</v>
      </c>
      <c r="O4" s="1">
        <v>60</v>
      </c>
      <c r="P4" s="1">
        <v>70</v>
      </c>
      <c r="Q4" s="1">
        <v>80</v>
      </c>
      <c r="R4" s="1">
        <v>90</v>
      </c>
      <c r="S4" s="1">
        <v>100</v>
      </c>
      <c r="T4" s="1">
        <v>110</v>
      </c>
      <c r="U4" s="67">
        <v>120</v>
      </c>
      <c r="V4" s="66">
        <v>0.1</v>
      </c>
      <c r="W4" s="1">
        <v>0.2</v>
      </c>
      <c r="X4" s="1">
        <v>0.3</v>
      </c>
      <c r="Y4" s="1">
        <v>0.4</v>
      </c>
      <c r="Z4" s="1">
        <v>0.5</v>
      </c>
      <c r="AA4" s="1">
        <v>0.6</v>
      </c>
      <c r="AB4" s="1">
        <v>0.7</v>
      </c>
      <c r="AC4" s="1">
        <v>0.8</v>
      </c>
      <c r="AD4" s="1">
        <v>0.9</v>
      </c>
      <c r="AE4" s="67">
        <v>1</v>
      </c>
    </row>
    <row r="5" spans="1:31" x14ac:dyDescent="0.25">
      <c r="E5" s="225">
        <v>0</v>
      </c>
      <c r="F5" s="222">
        <f>E5*1000</f>
        <v>0</v>
      </c>
      <c r="G5" s="221">
        <f>G$4-$E5*R0()</f>
        <v>-20</v>
      </c>
      <c r="H5" s="23">
        <f t="shared" ref="H5:U5" si="0">H$4-$E5*R0()</f>
        <v>-10</v>
      </c>
      <c r="I5" s="23">
        <f t="shared" si="0"/>
        <v>0</v>
      </c>
      <c r="J5" s="23">
        <f t="shared" si="0"/>
        <v>10</v>
      </c>
      <c r="K5" s="23">
        <f t="shared" si="0"/>
        <v>20</v>
      </c>
      <c r="L5" s="23">
        <f t="shared" si="0"/>
        <v>30</v>
      </c>
      <c r="M5" s="23">
        <f t="shared" si="0"/>
        <v>40</v>
      </c>
      <c r="N5" s="23">
        <f t="shared" si="0"/>
        <v>50</v>
      </c>
      <c r="O5" s="23">
        <f t="shared" si="0"/>
        <v>60</v>
      </c>
      <c r="P5" s="23">
        <f t="shared" si="0"/>
        <v>70</v>
      </c>
      <c r="Q5" s="23">
        <f t="shared" si="0"/>
        <v>80</v>
      </c>
      <c r="R5" s="23">
        <f t="shared" si="0"/>
        <v>90</v>
      </c>
      <c r="S5" s="23">
        <f t="shared" si="0"/>
        <v>100</v>
      </c>
      <c r="T5" s="23">
        <f t="shared" si="0"/>
        <v>110</v>
      </c>
      <c r="U5" s="222">
        <f t="shared" si="0"/>
        <v>120</v>
      </c>
      <c r="V5" s="223"/>
      <c r="W5" s="220"/>
      <c r="X5" s="220"/>
      <c r="Y5" s="220"/>
      <c r="Z5" s="220"/>
      <c r="AA5" s="220"/>
      <c r="AB5" s="220"/>
      <c r="AC5" s="220"/>
      <c r="AD5" s="220"/>
      <c r="AE5" s="224"/>
    </row>
    <row r="6" spans="1:31" x14ac:dyDescent="0.25">
      <c r="E6" s="225">
        <v>1E-4</v>
      </c>
      <c r="F6" s="222">
        <f t="shared" ref="F6:F69" si="1">E6*1000</f>
        <v>0.1</v>
      </c>
      <c r="G6" s="221">
        <f t="shared" ref="G6:U14" si="2">G$4-$E6*R0()</f>
        <v>-20.250050000000002</v>
      </c>
      <c r="H6" s="23">
        <f t="shared" si="2"/>
        <v>-10.25005</v>
      </c>
      <c r="I6" s="23">
        <f t="shared" si="2"/>
        <v>-0.25004999999999999</v>
      </c>
      <c r="J6" s="23">
        <f t="shared" si="2"/>
        <v>9.7499500000000001</v>
      </c>
      <c r="K6" s="23">
        <f t="shared" si="2"/>
        <v>19.749949999999998</v>
      </c>
      <c r="L6" s="23">
        <f t="shared" si="2"/>
        <v>29.749949999999998</v>
      </c>
      <c r="M6" s="23">
        <f t="shared" si="2"/>
        <v>39.749949999999998</v>
      </c>
      <c r="N6" s="23">
        <f t="shared" si="2"/>
        <v>49.749949999999998</v>
      </c>
      <c r="O6" s="23">
        <f t="shared" si="2"/>
        <v>59.749949999999998</v>
      </c>
      <c r="P6" s="23">
        <f t="shared" si="2"/>
        <v>69.749949999999998</v>
      </c>
      <c r="Q6" s="23">
        <f t="shared" si="2"/>
        <v>79.749949999999998</v>
      </c>
      <c r="R6" s="23">
        <f t="shared" si="2"/>
        <v>89.749949999999998</v>
      </c>
      <c r="S6" s="23">
        <f t="shared" si="2"/>
        <v>99.749949999999998</v>
      </c>
      <c r="T6" s="23">
        <f t="shared" si="2"/>
        <v>109.74995</v>
      </c>
      <c r="U6" s="222">
        <f t="shared" si="2"/>
        <v>119.74995</v>
      </c>
      <c r="V6" s="223">
        <f t="shared" ref="V6:AE15" si="3">Enthalpie_p_phi_x(hx_druck,V$4,$E6)-$E6*R0()</f>
        <v>-15.225575436418033</v>
      </c>
      <c r="W6" s="220">
        <f t="shared" si="3"/>
        <v>-22.550978623579876</v>
      </c>
      <c r="X6" s="220">
        <f t="shared" si="3"/>
        <v>-26.647265279912258</v>
      </c>
      <c r="Y6" s="220">
        <f t="shared" si="3"/>
        <v>-29.473755753390623</v>
      </c>
      <c r="Z6" s="220">
        <f t="shared" si="3"/>
        <v>-31.62213905808829</v>
      </c>
      <c r="AA6" s="220">
        <f t="shared" si="3"/>
        <v>-33.349723990650766</v>
      </c>
      <c r="AB6" s="220">
        <f t="shared" si="3"/>
        <v>-34.791313712048151</v>
      </c>
      <c r="AC6" s="220">
        <f t="shared" si="3"/>
        <v>-36.026213293387293</v>
      </c>
      <c r="AD6" s="220">
        <f t="shared" si="3"/>
        <v>-37.104956661929208</v>
      </c>
      <c r="AE6" s="224">
        <f t="shared" si="3"/>
        <v>-38.061687615243237</v>
      </c>
    </row>
    <row r="7" spans="1:31" x14ac:dyDescent="0.25">
      <c r="E7" s="225">
        <v>2.0000000000000001E-4</v>
      </c>
      <c r="F7" s="222">
        <f t="shared" si="1"/>
        <v>0.2</v>
      </c>
      <c r="G7" s="221">
        <f t="shared" si="2"/>
        <v>-20.5001</v>
      </c>
      <c r="H7" s="23">
        <f t="shared" si="2"/>
        <v>-10.5001</v>
      </c>
      <c r="I7" s="23">
        <f t="shared" si="2"/>
        <v>-0.50009999999999999</v>
      </c>
      <c r="J7" s="23">
        <f t="shared" si="2"/>
        <v>9.4999000000000002</v>
      </c>
      <c r="K7" s="23">
        <f t="shared" si="2"/>
        <v>19.4999</v>
      </c>
      <c r="L7" s="23">
        <f t="shared" si="2"/>
        <v>29.4999</v>
      </c>
      <c r="M7" s="23">
        <f t="shared" si="2"/>
        <v>39.499899999999997</v>
      </c>
      <c r="N7" s="23">
        <f t="shared" si="2"/>
        <v>49.499899999999997</v>
      </c>
      <c r="O7" s="23">
        <f t="shared" si="2"/>
        <v>59.499899999999997</v>
      </c>
      <c r="P7" s="23">
        <f t="shared" si="2"/>
        <v>69.499899999999997</v>
      </c>
      <c r="Q7" s="23">
        <f t="shared" si="2"/>
        <v>79.499899999999997</v>
      </c>
      <c r="R7" s="23">
        <f t="shared" si="2"/>
        <v>89.499899999999997</v>
      </c>
      <c r="S7" s="23">
        <f t="shared" si="2"/>
        <v>99.499899999999997</v>
      </c>
      <c r="T7" s="23">
        <f t="shared" si="2"/>
        <v>109.4999</v>
      </c>
      <c r="U7" s="222">
        <f t="shared" si="2"/>
        <v>119.4999</v>
      </c>
      <c r="V7" s="223">
        <f t="shared" si="3"/>
        <v>-7.4646201522641231</v>
      </c>
      <c r="W7" s="220">
        <f t="shared" si="3"/>
        <v>-15.230172688848542</v>
      </c>
      <c r="X7" s="220">
        <f t="shared" si="3"/>
        <v>-19.566864702167415</v>
      </c>
      <c r="Y7" s="220">
        <f t="shared" si="3"/>
        <v>-22.556849068254291</v>
      </c>
      <c r="Z7" s="220">
        <f t="shared" si="3"/>
        <v>-24.828198730795648</v>
      </c>
      <c r="AA7" s="220">
        <f t="shared" si="3"/>
        <v>-26.653848897295418</v>
      </c>
      <c r="AB7" s="220">
        <f t="shared" si="3"/>
        <v>-28.176713103143133</v>
      </c>
      <c r="AC7" s="220">
        <f t="shared" si="3"/>
        <v>-29.480831978218031</v>
      </c>
      <c r="AD7" s="220">
        <f t="shared" si="3"/>
        <v>-30.619738001654756</v>
      </c>
      <c r="AE7" s="224">
        <f t="shared" si="3"/>
        <v>-31.629589986320287</v>
      </c>
    </row>
    <row r="8" spans="1:31" x14ac:dyDescent="0.25">
      <c r="E8" s="225">
        <v>2.9999999999999997E-4</v>
      </c>
      <c r="F8" s="222">
        <f t="shared" si="1"/>
        <v>0.3</v>
      </c>
      <c r="G8" s="221">
        <f t="shared" si="2"/>
        <v>-20.750150000000001</v>
      </c>
      <c r="H8" s="23">
        <f t="shared" si="2"/>
        <v>-10.75015</v>
      </c>
      <c r="I8" s="23">
        <f t="shared" si="2"/>
        <v>-0.75014999999999998</v>
      </c>
      <c r="J8" s="23">
        <f t="shared" si="2"/>
        <v>9.2498500000000003</v>
      </c>
      <c r="K8" s="23">
        <f t="shared" si="2"/>
        <v>19.249849999999999</v>
      </c>
      <c r="L8" s="23">
        <f t="shared" si="2"/>
        <v>29.249849999999999</v>
      </c>
      <c r="M8" s="23">
        <f t="shared" si="2"/>
        <v>39.249850000000002</v>
      </c>
      <c r="N8" s="23">
        <f t="shared" si="2"/>
        <v>49.249850000000002</v>
      </c>
      <c r="O8" s="23">
        <f t="shared" si="2"/>
        <v>59.249850000000002</v>
      </c>
      <c r="P8" s="23">
        <f t="shared" si="2"/>
        <v>69.249849999999995</v>
      </c>
      <c r="Q8" s="23">
        <f t="shared" si="2"/>
        <v>79.249849999999995</v>
      </c>
      <c r="R8" s="23">
        <f t="shared" si="2"/>
        <v>89.249849999999995</v>
      </c>
      <c r="S8" s="23">
        <f t="shared" si="2"/>
        <v>99.249849999999995</v>
      </c>
      <c r="T8" s="23">
        <f t="shared" si="2"/>
        <v>109.24985</v>
      </c>
      <c r="U8" s="222">
        <f t="shared" si="2"/>
        <v>119.24985</v>
      </c>
      <c r="V8" s="223">
        <f t="shared" si="3"/>
        <v>-2.7050073763279818</v>
      </c>
      <c r="W8" s="220">
        <f t="shared" si="3"/>
        <v>-10.747208400908059</v>
      </c>
      <c r="X8" s="220">
        <f t="shared" si="3"/>
        <v>-15.234770290811769</v>
      </c>
      <c r="Y8" s="220">
        <f t="shared" si="3"/>
        <v>-18.327262090805178</v>
      </c>
      <c r="Z8" s="220">
        <f t="shared" si="3"/>
        <v>-20.675657726161774</v>
      </c>
      <c r="AA8" s="220">
        <f t="shared" si="3"/>
        <v>-22.562719843615461</v>
      </c>
      <c r="AB8" s="220">
        <f t="shared" si="3"/>
        <v>-24.13645942133903</v>
      </c>
      <c r="AC8" s="220">
        <f t="shared" si="3"/>
        <v>-25.483891956402026</v>
      </c>
      <c r="AD8" s="220">
        <f t="shared" si="3"/>
        <v>-26.660432835038637</v>
      </c>
      <c r="AE8" s="224">
        <f t="shared" si="3"/>
        <v>-27.703505729904059</v>
      </c>
    </row>
    <row r="9" spans="1:31" x14ac:dyDescent="0.25">
      <c r="E9" s="225">
        <v>4.0000000000000002E-4</v>
      </c>
      <c r="F9" s="222">
        <f t="shared" si="1"/>
        <v>0.4</v>
      </c>
      <c r="G9" s="221">
        <f t="shared" si="2"/>
        <v>-21.0002</v>
      </c>
      <c r="H9" s="23">
        <f t="shared" si="2"/>
        <v>-11.0002</v>
      </c>
      <c r="I9" s="23">
        <f t="shared" si="2"/>
        <v>-1.0002</v>
      </c>
      <c r="J9" s="23">
        <f t="shared" si="2"/>
        <v>8.9998000000000005</v>
      </c>
      <c r="K9" s="23">
        <f t="shared" si="2"/>
        <v>18.9998</v>
      </c>
      <c r="L9" s="23">
        <f t="shared" si="2"/>
        <v>28.9998</v>
      </c>
      <c r="M9" s="23">
        <f t="shared" si="2"/>
        <v>38.9998</v>
      </c>
      <c r="N9" s="23">
        <f t="shared" si="2"/>
        <v>48.9998</v>
      </c>
      <c r="O9" s="23">
        <f t="shared" si="2"/>
        <v>58.9998</v>
      </c>
      <c r="P9" s="23">
        <f t="shared" si="2"/>
        <v>68.999799999999993</v>
      </c>
      <c r="Q9" s="23">
        <f t="shared" si="2"/>
        <v>78.999799999999993</v>
      </c>
      <c r="R9" s="23">
        <f t="shared" si="2"/>
        <v>88.999799999999993</v>
      </c>
      <c r="S9" s="23">
        <f t="shared" si="2"/>
        <v>98.999799999999993</v>
      </c>
      <c r="T9" s="23">
        <f t="shared" si="2"/>
        <v>108.99979999999999</v>
      </c>
      <c r="U9" s="222">
        <f t="shared" si="2"/>
        <v>118.99979999999999</v>
      </c>
      <c r="V9" s="223">
        <f t="shared" si="3"/>
        <v>0.88106276638295911</v>
      </c>
      <c r="W9" s="220">
        <f t="shared" si="3"/>
        <v>-7.4711229468439626</v>
      </c>
      <c r="X9" s="220">
        <f t="shared" si="3"/>
        <v>-12.0707681048357</v>
      </c>
      <c r="Y9" s="220">
        <f t="shared" si="3"/>
        <v>-15.239368242238786</v>
      </c>
      <c r="Z9" s="220">
        <f t="shared" si="3"/>
        <v>-17.644943268364926</v>
      </c>
      <c r="AA9" s="220">
        <f t="shared" si="3"/>
        <v>-19.577566763724771</v>
      </c>
      <c r="AB9" s="220">
        <f t="shared" si="3"/>
        <v>-21.189040326277318</v>
      </c>
      <c r="AC9" s="220">
        <f t="shared" si="3"/>
        <v>-22.568590949598562</v>
      </c>
      <c r="AD9" s="220">
        <f t="shared" si="3"/>
        <v>-23.773033387441245</v>
      </c>
      <c r="AE9" s="224">
        <f t="shared" si="3"/>
        <v>-24.84073113572769</v>
      </c>
    </row>
    <row r="10" spans="1:31" x14ac:dyDescent="0.25">
      <c r="E10" s="225">
        <v>5.0000000000000001E-4</v>
      </c>
      <c r="F10" s="222">
        <f t="shared" si="1"/>
        <v>0.5</v>
      </c>
      <c r="G10" s="221">
        <f t="shared" si="2"/>
        <v>-21.250250000000001</v>
      </c>
      <c r="H10" s="23">
        <f t="shared" si="2"/>
        <v>-11.250249999999999</v>
      </c>
      <c r="I10" s="23">
        <f t="shared" si="2"/>
        <v>-1.2502500000000001</v>
      </c>
      <c r="J10" s="23">
        <f t="shared" si="2"/>
        <v>8.7497500000000006</v>
      </c>
      <c r="K10" s="23">
        <f t="shared" si="2"/>
        <v>18.749749999999999</v>
      </c>
      <c r="L10" s="23">
        <f t="shared" si="2"/>
        <v>28.749749999999999</v>
      </c>
      <c r="M10" s="23">
        <f t="shared" si="2"/>
        <v>38.749749999999999</v>
      </c>
      <c r="N10" s="23">
        <f t="shared" si="2"/>
        <v>48.749749999999999</v>
      </c>
      <c r="O10" s="23">
        <f t="shared" si="2"/>
        <v>58.749749999999999</v>
      </c>
      <c r="P10" s="23">
        <f t="shared" si="2"/>
        <v>68.749750000000006</v>
      </c>
      <c r="Q10" s="23">
        <f t="shared" si="2"/>
        <v>78.749750000000006</v>
      </c>
      <c r="R10" s="23">
        <f t="shared" si="2"/>
        <v>88.749750000000006</v>
      </c>
      <c r="S10" s="23">
        <f t="shared" si="2"/>
        <v>98.749750000000006</v>
      </c>
      <c r="T10" s="23">
        <f t="shared" si="2"/>
        <v>108.74975000000001</v>
      </c>
      <c r="U10" s="222">
        <f t="shared" si="2"/>
        <v>118.74975000000001</v>
      </c>
      <c r="V10" s="223">
        <f t="shared" si="3"/>
        <v>4.0254027375528638</v>
      </c>
      <c r="W10" s="220">
        <f t="shared" si="3"/>
        <v>-4.8731323139070435</v>
      </c>
      <c r="X10" s="220">
        <f t="shared" si="3"/>
        <v>-9.5628002776159722</v>
      </c>
      <c r="Y10" s="220">
        <f t="shared" si="3"/>
        <v>-12.792501577109498</v>
      </c>
      <c r="Z10" s="220">
        <f t="shared" si="3"/>
        <v>-15.243966543061145</v>
      </c>
      <c r="AA10" s="220">
        <f t="shared" si="3"/>
        <v>-17.213146705626322</v>
      </c>
      <c r="AB10" s="220">
        <f t="shared" si="3"/>
        <v>-18.854890386250442</v>
      </c>
      <c r="AC10" s="220">
        <f t="shared" si="3"/>
        <v>-20.26020165183688</v>
      </c>
      <c r="AD10" s="220">
        <f t="shared" si="3"/>
        <v>-21.487019510649933</v>
      </c>
      <c r="AE10" s="224">
        <f t="shared" si="3"/>
        <v>-22.574462386138702</v>
      </c>
    </row>
    <row r="11" spans="1:31" x14ac:dyDescent="0.25">
      <c r="E11" s="225">
        <v>5.9999999999999995E-4</v>
      </c>
      <c r="F11" s="222">
        <f t="shared" si="1"/>
        <v>0.6</v>
      </c>
      <c r="G11" s="221">
        <f t="shared" si="2"/>
        <v>-21.500299999999999</v>
      </c>
      <c r="H11" s="23">
        <f t="shared" si="2"/>
        <v>-11.500299999999999</v>
      </c>
      <c r="I11" s="23">
        <f t="shared" si="2"/>
        <v>-1.5003</v>
      </c>
      <c r="J11" s="23">
        <f t="shared" si="2"/>
        <v>8.4997000000000007</v>
      </c>
      <c r="K11" s="23">
        <f t="shared" si="2"/>
        <v>18.499700000000001</v>
      </c>
      <c r="L11" s="23">
        <f t="shared" si="2"/>
        <v>28.499700000000001</v>
      </c>
      <c r="M11" s="23">
        <f t="shared" si="2"/>
        <v>38.499699999999997</v>
      </c>
      <c r="N11" s="23">
        <f t="shared" si="2"/>
        <v>48.499699999999997</v>
      </c>
      <c r="O11" s="23">
        <f t="shared" si="2"/>
        <v>58.499699999999997</v>
      </c>
      <c r="P11" s="23">
        <f t="shared" si="2"/>
        <v>68.499700000000004</v>
      </c>
      <c r="Q11" s="23">
        <f t="shared" si="2"/>
        <v>78.499700000000004</v>
      </c>
      <c r="R11" s="23">
        <f t="shared" si="2"/>
        <v>88.499700000000004</v>
      </c>
      <c r="S11" s="23">
        <f t="shared" si="2"/>
        <v>98.499700000000004</v>
      </c>
      <c r="T11" s="23">
        <f t="shared" si="2"/>
        <v>108.4997</v>
      </c>
      <c r="U11" s="222">
        <f t="shared" si="2"/>
        <v>118.4997</v>
      </c>
      <c r="V11" s="223">
        <f t="shared" si="3"/>
        <v>6.6571095141289076</v>
      </c>
      <c r="W11" s="220">
        <f t="shared" si="3"/>
        <v>-2.7122910405795007</v>
      </c>
      <c r="X11" s="220">
        <f t="shared" si="3"/>
        <v>-7.4776272209782038</v>
      </c>
      <c r="Y11" s="220">
        <f t="shared" si="3"/>
        <v>-10.758668473668321</v>
      </c>
      <c r="Z11" s="220">
        <f t="shared" si="3"/>
        <v>-13.248682396224105</v>
      </c>
      <c r="AA11" s="220">
        <f t="shared" si="3"/>
        <v>-15.248565193209899</v>
      </c>
      <c r="AB11" s="220">
        <f t="shared" si="3"/>
        <v>-16.915727551050306</v>
      </c>
      <c r="AC11" s="220">
        <f t="shared" si="3"/>
        <v>-18.342667811791443</v>
      </c>
      <c r="AD11" s="220">
        <f t="shared" si="3"/>
        <v>-19.588270178027376</v>
      </c>
      <c r="AE11" s="224">
        <f t="shared" si="3"/>
        <v>-20.692287677386755</v>
      </c>
    </row>
    <row r="12" spans="1:31" x14ac:dyDescent="0.25">
      <c r="E12" s="225">
        <v>6.9999999999999999E-4</v>
      </c>
      <c r="F12" s="222">
        <f t="shared" si="1"/>
        <v>0.7</v>
      </c>
      <c r="G12" s="221">
        <f t="shared" si="2"/>
        <v>-21.750350000000001</v>
      </c>
      <c r="H12" s="23">
        <f t="shared" si="2"/>
        <v>-11.750350000000001</v>
      </c>
      <c r="I12" s="23">
        <f t="shared" si="2"/>
        <v>-1.7503500000000001</v>
      </c>
      <c r="J12" s="23">
        <f t="shared" si="2"/>
        <v>8.249649999999999</v>
      </c>
      <c r="K12" s="23">
        <f t="shared" si="2"/>
        <v>18.249649999999999</v>
      </c>
      <c r="L12" s="23">
        <f t="shared" si="2"/>
        <v>28.249649999999999</v>
      </c>
      <c r="M12" s="23">
        <f t="shared" si="2"/>
        <v>38.249650000000003</v>
      </c>
      <c r="N12" s="23">
        <f t="shared" si="2"/>
        <v>48.249650000000003</v>
      </c>
      <c r="O12" s="23">
        <f t="shared" si="2"/>
        <v>58.249650000000003</v>
      </c>
      <c r="P12" s="23">
        <f t="shared" si="2"/>
        <v>68.249650000000003</v>
      </c>
      <c r="Q12" s="23">
        <f t="shared" si="2"/>
        <v>78.249650000000003</v>
      </c>
      <c r="R12" s="23">
        <f t="shared" si="2"/>
        <v>88.249650000000003</v>
      </c>
      <c r="S12" s="23">
        <f t="shared" si="2"/>
        <v>98.249650000000003</v>
      </c>
      <c r="T12" s="23">
        <f t="shared" si="2"/>
        <v>108.24965</v>
      </c>
      <c r="U12" s="222">
        <f t="shared" si="2"/>
        <v>118.24965</v>
      </c>
      <c r="V12" s="223">
        <f t="shared" si="3"/>
        <v>8.9277407543459688</v>
      </c>
      <c r="W12" s="220">
        <f t="shared" si="3"/>
        <v>-0.85780978980209821</v>
      </c>
      <c r="X12" s="220">
        <f t="shared" si="3"/>
        <v>-5.6886780839450353</v>
      </c>
      <c r="Y12" s="220">
        <f t="shared" si="3"/>
        <v>-9.0141689065532695</v>
      </c>
      <c r="Z12" s="220">
        <f t="shared" si="3"/>
        <v>-11.537551030406295</v>
      </c>
      <c r="AA12" s="220">
        <f t="shared" si="3"/>
        <v>-13.564005840568321</v>
      </c>
      <c r="AB12" s="220">
        <f t="shared" si="3"/>
        <v>-15.253164192616463</v>
      </c>
      <c r="AC12" s="220">
        <f t="shared" si="3"/>
        <v>-16.698818943100882</v>
      </c>
      <c r="AD12" s="220">
        <f t="shared" si="3"/>
        <v>-17.960673023964571</v>
      </c>
      <c r="AE12" s="224">
        <f t="shared" si="3"/>
        <v>-19.079029096548435</v>
      </c>
    </row>
    <row r="13" spans="1:31" x14ac:dyDescent="0.25">
      <c r="E13" s="225">
        <v>8.0000000000000004E-4</v>
      </c>
      <c r="F13" s="222">
        <f t="shared" si="1"/>
        <v>0.8</v>
      </c>
      <c r="G13" s="221">
        <f t="shared" si="2"/>
        <v>-22.000399999999999</v>
      </c>
      <c r="H13" s="23">
        <f t="shared" si="2"/>
        <v>-12.000399999999999</v>
      </c>
      <c r="I13" s="23">
        <f t="shared" si="2"/>
        <v>-2.0004</v>
      </c>
      <c r="J13" s="23">
        <f t="shared" si="2"/>
        <v>7.9996</v>
      </c>
      <c r="K13" s="23">
        <f t="shared" si="2"/>
        <v>17.999600000000001</v>
      </c>
      <c r="L13" s="23">
        <f t="shared" si="2"/>
        <v>27.999600000000001</v>
      </c>
      <c r="M13" s="23">
        <f t="shared" si="2"/>
        <v>37.999600000000001</v>
      </c>
      <c r="N13" s="23">
        <f t="shared" si="2"/>
        <v>47.999600000000001</v>
      </c>
      <c r="O13" s="23">
        <f t="shared" si="2"/>
        <v>57.999600000000001</v>
      </c>
      <c r="P13" s="23">
        <f t="shared" si="2"/>
        <v>67.999600000000001</v>
      </c>
      <c r="Q13" s="23">
        <f t="shared" si="2"/>
        <v>77.999600000000001</v>
      </c>
      <c r="R13" s="23">
        <f t="shared" si="2"/>
        <v>87.999600000000001</v>
      </c>
      <c r="S13" s="23">
        <f t="shared" si="2"/>
        <v>97.999600000000001</v>
      </c>
      <c r="T13" s="23">
        <f t="shared" si="2"/>
        <v>107.9996</v>
      </c>
      <c r="U13" s="222">
        <f t="shared" si="2"/>
        <v>117.9996</v>
      </c>
      <c r="V13" s="223">
        <f t="shared" si="3"/>
        <v>10.929478953289095</v>
      </c>
      <c r="W13" s="220">
        <f t="shared" si="3"/>
        <v>0.8727748405415956</v>
      </c>
      <c r="X13" s="220">
        <f t="shared" si="3"/>
        <v>-4.1193331033483531</v>
      </c>
      <c r="Y13" s="220">
        <f t="shared" si="3"/>
        <v>-7.4841329740838676</v>
      </c>
      <c r="Z13" s="220">
        <f t="shared" si="3"/>
        <v>-10.037018996904276</v>
      </c>
      <c r="AA13" s="220">
        <f t="shared" si="3"/>
        <v>-12.086965282385123</v>
      </c>
      <c r="AB13" s="220">
        <f t="shared" si="3"/>
        <v>-13.795567378659129</v>
      </c>
      <c r="AC13" s="220">
        <f t="shared" si="3"/>
        <v>-15.257763541212277</v>
      </c>
      <c r="AD13" s="220">
        <f t="shared" si="3"/>
        <v>-16.533981040335483</v>
      </c>
      <c r="AE13" s="224">
        <f t="shared" si="3"/>
        <v>-17.665008757379013</v>
      </c>
    </row>
    <row r="14" spans="1:31" x14ac:dyDescent="0.25">
      <c r="E14" s="225">
        <v>8.9999999999999998E-4</v>
      </c>
      <c r="F14" s="222">
        <f t="shared" si="1"/>
        <v>0.9</v>
      </c>
      <c r="G14" s="221">
        <f t="shared" si="2"/>
        <v>-22.250450000000001</v>
      </c>
      <c r="H14" s="23">
        <f t="shared" si="2"/>
        <v>-12.250450000000001</v>
      </c>
      <c r="I14" s="23">
        <f t="shared" si="2"/>
        <v>-2.2504499999999998</v>
      </c>
      <c r="J14" s="23">
        <f t="shared" si="2"/>
        <v>7.7495500000000002</v>
      </c>
      <c r="K14" s="23">
        <f t="shared" si="2"/>
        <v>17.749549999999999</v>
      </c>
      <c r="L14" s="23">
        <f t="shared" si="2"/>
        <v>27.749549999999999</v>
      </c>
      <c r="M14" s="23">
        <f t="shared" si="2"/>
        <v>37.749549999999999</v>
      </c>
      <c r="N14" s="23">
        <f t="shared" si="2"/>
        <v>47.749549999999999</v>
      </c>
      <c r="O14" s="23">
        <f t="shared" si="2"/>
        <v>57.749549999999999</v>
      </c>
      <c r="P14" s="23">
        <f t="shared" si="2"/>
        <v>67.749549999999999</v>
      </c>
      <c r="Q14" s="23">
        <f t="shared" si="2"/>
        <v>77.749549999999999</v>
      </c>
      <c r="R14" s="23">
        <f t="shared" si="2"/>
        <v>87.749549999999999</v>
      </c>
      <c r="S14" s="23">
        <f t="shared" si="2"/>
        <v>97.749549999999999</v>
      </c>
      <c r="T14" s="23">
        <f t="shared" si="2"/>
        <v>107.74955</v>
      </c>
      <c r="U14" s="222">
        <f t="shared" si="2"/>
        <v>117.74955</v>
      </c>
      <c r="V14" s="223">
        <f t="shared" si="3"/>
        <v>12.722742634528505</v>
      </c>
      <c r="W14" s="220">
        <f t="shared" si="3"/>
        <v>2.5223662462593266</v>
      </c>
      <c r="X14" s="220">
        <f t="shared" si="3"/>
        <v>-2.719578147972185</v>
      </c>
      <c r="Y14" s="220">
        <f t="shared" si="3"/>
        <v>-6.1196954856737165</v>
      </c>
      <c r="Z14" s="220">
        <f t="shared" si="3"/>
        <v>-8.6990853191773638</v>
      </c>
      <c r="AA14" s="220">
        <f t="shared" si="3"/>
        <v>-10.770131795679013</v>
      </c>
      <c r="AB14" s="220">
        <f t="shared" si="3"/>
        <v>-12.496196655538615</v>
      </c>
      <c r="AC14" s="220">
        <f t="shared" si="3"/>
        <v>-13.973247708030975</v>
      </c>
      <c r="AD14" s="220">
        <f t="shared" si="3"/>
        <v>-15.262363238928618</v>
      </c>
      <c r="AE14" s="224">
        <f t="shared" si="3"/>
        <v>-16.404769094340999</v>
      </c>
    </row>
    <row r="15" spans="1:31" x14ac:dyDescent="0.25">
      <c r="E15" s="225">
        <v>1E-3</v>
      </c>
      <c r="F15" s="222">
        <f t="shared" si="1"/>
        <v>1</v>
      </c>
      <c r="G15" s="221">
        <f t="shared" ref="G15:U39" si="4">G$4-$E15*R0()</f>
        <v>-22.500499999999999</v>
      </c>
      <c r="H15" s="23">
        <f t="shared" si="4"/>
        <v>-12.500500000000001</v>
      </c>
      <c r="I15" s="23">
        <f t="shared" si="4"/>
        <v>-2.5005000000000002</v>
      </c>
      <c r="J15" s="23">
        <f t="shared" si="4"/>
        <v>7.4994999999999994</v>
      </c>
      <c r="K15" s="23">
        <f t="shared" si="4"/>
        <v>17.499500000000001</v>
      </c>
      <c r="L15" s="23">
        <f t="shared" si="4"/>
        <v>27.499500000000001</v>
      </c>
      <c r="M15" s="23">
        <f t="shared" si="4"/>
        <v>37.499499999999998</v>
      </c>
      <c r="N15" s="23">
        <f t="shared" si="4"/>
        <v>47.499499999999998</v>
      </c>
      <c r="O15" s="23">
        <f t="shared" si="4"/>
        <v>57.499499999999998</v>
      </c>
      <c r="P15" s="23">
        <f t="shared" si="4"/>
        <v>67.499499999999998</v>
      </c>
      <c r="Q15" s="23">
        <f t="shared" si="4"/>
        <v>77.499499999999998</v>
      </c>
      <c r="R15" s="23">
        <f t="shared" si="4"/>
        <v>87.499499999999998</v>
      </c>
      <c r="S15" s="23">
        <f t="shared" si="4"/>
        <v>97.499499999999998</v>
      </c>
      <c r="T15" s="23">
        <f t="shared" si="4"/>
        <v>107.4995</v>
      </c>
      <c r="U15" s="222">
        <f t="shared" si="4"/>
        <v>117.4995</v>
      </c>
      <c r="V15" s="223">
        <f t="shared" si="3"/>
        <v>14.349365154629586</v>
      </c>
      <c r="W15" s="220">
        <f t="shared" si="3"/>
        <v>4.0176852514777028</v>
      </c>
      <c r="X15" s="220">
        <f t="shared" si="3"/>
        <v>-1.4549075012124724</v>
      </c>
      <c r="Y15" s="220">
        <f t="shared" si="3"/>
        <v>-4.8871474559553025</v>
      </c>
      <c r="Z15" s="220">
        <f t="shared" si="3"/>
        <v>-7.4906402055781971</v>
      </c>
      <c r="AA15" s="220">
        <f t="shared" si="3"/>
        <v>-9.5808734169322136</v>
      </c>
      <c r="AB15" s="220">
        <f t="shared" si="3"/>
        <v>-11.3228160550794</v>
      </c>
      <c r="AC15" s="220">
        <f t="shared" si="3"/>
        <v>-12.81337271983495</v>
      </c>
      <c r="AD15" s="220">
        <f t="shared" si="3"/>
        <v>-14.114214004536574</v>
      </c>
      <c r="AE15" s="224">
        <f t="shared" si="3"/>
        <v>-15.266963285696967</v>
      </c>
    </row>
    <row r="16" spans="1:31" x14ac:dyDescent="0.25">
      <c r="E16" s="225">
        <v>1.1000000000000001E-3</v>
      </c>
      <c r="F16" s="222">
        <f t="shared" si="1"/>
        <v>1.1000000000000001</v>
      </c>
      <c r="G16" s="221">
        <f t="shared" si="4"/>
        <v>-22.75055</v>
      </c>
      <c r="H16" s="23">
        <f t="shared" si="4"/>
        <v>-12.75055</v>
      </c>
      <c r="I16" s="23">
        <f t="shared" si="4"/>
        <v>-2.7505500000000001</v>
      </c>
      <c r="J16" s="23">
        <f t="shared" si="4"/>
        <v>7.2494499999999995</v>
      </c>
      <c r="K16" s="23">
        <f t="shared" si="4"/>
        <v>17.24945</v>
      </c>
      <c r="L16" s="23">
        <f t="shared" si="4"/>
        <v>27.24945</v>
      </c>
      <c r="M16" s="23">
        <f t="shared" si="4"/>
        <v>37.249450000000003</v>
      </c>
      <c r="N16" s="23">
        <f t="shared" si="4"/>
        <v>47.249450000000003</v>
      </c>
      <c r="O16" s="23">
        <f t="shared" si="4"/>
        <v>57.249450000000003</v>
      </c>
      <c r="P16" s="23">
        <f t="shared" si="4"/>
        <v>67.249449999999996</v>
      </c>
      <c r="Q16" s="23">
        <f t="shared" si="4"/>
        <v>77.249449999999996</v>
      </c>
      <c r="R16" s="23">
        <f t="shared" si="4"/>
        <v>87.249449999999996</v>
      </c>
      <c r="S16" s="23">
        <f t="shared" si="4"/>
        <v>97.249449999999996</v>
      </c>
      <c r="T16" s="23">
        <f t="shared" si="4"/>
        <v>107.24945</v>
      </c>
      <c r="U16" s="222">
        <f t="shared" si="4"/>
        <v>117.24945</v>
      </c>
      <c r="V16" s="223">
        <f t="shared" ref="V16:AE25" si="5">Enthalpie_p_phi_x(hx_druck,V$4,$E16)-$E16*R0()</f>
        <v>15.839556952917295</v>
      </c>
      <c r="W16" s="220">
        <f t="shared" si="5"/>
        <v>5.3867568295253889</v>
      </c>
      <c r="X16" s="220">
        <f t="shared" si="5"/>
        <v>-0.30048201381628514</v>
      </c>
      <c r="Y16" s="220">
        <f t="shared" si="5"/>
        <v>-3.7622258708304028</v>
      </c>
      <c r="Z16" s="220">
        <f t="shared" si="5"/>
        <v>-6.387853872331319</v>
      </c>
      <c r="AA16" s="220">
        <f t="shared" si="5"/>
        <v>-8.4957058049156213</v>
      </c>
      <c r="AB16" s="220">
        <f t="shared" si="5"/>
        <v>-10.252227492559987</v>
      </c>
      <c r="AC16" s="220">
        <f t="shared" si="5"/>
        <v>-11.755184260252088</v>
      </c>
      <c r="AD16" s="220">
        <f t="shared" si="5"/>
        <v>-13.066790872797137</v>
      </c>
      <c r="AE16" s="224">
        <f t="shared" si="5"/>
        <v>-14.22903590623849</v>
      </c>
    </row>
    <row r="17" spans="5:31" x14ac:dyDescent="0.25">
      <c r="E17" s="225">
        <v>1.1999999999999999E-3</v>
      </c>
      <c r="F17" s="222">
        <f t="shared" si="1"/>
        <v>1.2</v>
      </c>
      <c r="G17" s="221">
        <f t="shared" si="4"/>
        <v>-23.000599999999999</v>
      </c>
      <c r="H17" s="23">
        <f t="shared" si="4"/>
        <v>-13.0006</v>
      </c>
      <c r="I17" s="23">
        <f t="shared" si="4"/>
        <v>-3.0005999999999999</v>
      </c>
      <c r="J17" s="23">
        <f t="shared" si="4"/>
        <v>6.9993999999999996</v>
      </c>
      <c r="K17" s="23">
        <f t="shared" si="4"/>
        <v>16.999400000000001</v>
      </c>
      <c r="L17" s="23">
        <f t="shared" si="4"/>
        <v>26.999400000000001</v>
      </c>
      <c r="M17" s="23">
        <f t="shared" si="4"/>
        <v>36.999400000000001</v>
      </c>
      <c r="N17" s="23">
        <f t="shared" si="4"/>
        <v>46.999400000000001</v>
      </c>
      <c r="O17" s="23">
        <f t="shared" si="4"/>
        <v>56.999400000000001</v>
      </c>
      <c r="P17" s="23">
        <f t="shared" si="4"/>
        <v>66.999399999999994</v>
      </c>
      <c r="Q17" s="23">
        <f t="shared" si="4"/>
        <v>76.999399999999994</v>
      </c>
      <c r="R17" s="23">
        <f t="shared" si="4"/>
        <v>86.999399999999994</v>
      </c>
      <c r="S17" s="23">
        <f t="shared" si="4"/>
        <v>96.999399999999994</v>
      </c>
      <c r="T17" s="23">
        <f t="shared" si="4"/>
        <v>106.99939999999999</v>
      </c>
      <c r="U17" s="222">
        <f t="shared" si="4"/>
        <v>116.99939999999999</v>
      </c>
      <c r="V17" s="223">
        <f t="shared" si="5"/>
        <v>17.215874855522959</v>
      </c>
      <c r="W17" s="220">
        <f t="shared" si="5"/>
        <v>6.6504974583214178</v>
      </c>
      <c r="X17" s="220">
        <f t="shared" si="5"/>
        <v>0.86447995671203026</v>
      </c>
      <c r="Y17" s="220">
        <f t="shared" si="5"/>
        <v>-2.7268686964687419</v>
      </c>
      <c r="Z17" s="220">
        <f t="shared" si="5"/>
        <v>-5.3729881011356655</v>
      </c>
      <c r="AA17" s="220">
        <f t="shared" si="5"/>
        <v>-7.4971489148790997</v>
      </c>
      <c r="AB17" s="220">
        <f t="shared" si="5"/>
        <v>-9.2671648456032969</v>
      </c>
      <c r="AC17" s="220">
        <f t="shared" si="5"/>
        <v>-10.781598365022182</v>
      </c>
      <c r="AD17" s="220">
        <f t="shared" si="5"/>
        <v>-12.103168178456512</v>
      </c>
      <c r="AE17" s="224">
        <f t="shared" si="5"/>
        <v>-13.274201041927883</v>
      </c>
    </row>
    <row r="18" spans="5:31" x14ac:dyDescent="0.25">
      <c r="E18" s="225">
        <v>1.2999999999999999E-3</v>
      </c>
      <c r="F18" s="222">
        <f t="shared" si="1"/>
        <v>1.3</v>
      </c>
      <c r="G18" s="221">
        <f t="shared" si="4"/>
        <v>-23.25065</v>
      </c>
      <c r="H18" s="23">
        <f t="shared" si="4"/>
        <v>-13.25065</v>
      </c>
      <c r="I18" s="23">
        <f t="shared" si="4"/>
        <v>-3.2506499999999998</v>
      </c>
      <c r="J18" s="23">
        <f t="shared" si="4"/>
        <v>6.7493499999999997</v>
      </c>
      <c r="K18" s="23">
        <f t="shared" si="4"/>
        <v>16.74935</v>
      </c>
      <c r="L18" s="23">
        <f t="shared" si="4"/>
        <v>26.74935</v>
      </c>
      <c r="M18" s="23">
        <f t="shared" si="4"/>
        <v>36.74935</v>
      </c>
      <c r="N18" s="23">
        <f t="shared" si="4"/>
        <v>46.74935</v>
      </c>
      <c r="O18" s="23">
        <f t="shared" si="4"/>
        <v>56.74935</v>
      </c>
      <c r="P18" s="23">
        <f t="shared" si="4"/>
        <v>66.749350000000007</v>
      </c>
      <c r="Q18" s="23">
        <f t="shared" si="4"/>
        <v>76.749350000000007</v>
      </c>
      <c r="R18" s="23">
        <f t="shared" si="4"/>
        <v>86.749350000000007</v>
      </c>
      <c r="S18" s="23">
        <f t="shared" si="4"/>
        <v>96.749350000000007</v>
      </c>
      <c r="T18" s="23">
        <f t="shared" si="4"/>
        <v>106.74935000000001</v>
      </c>
      <c r="U18" s="222">
        <f t="shared" si="4"/>
        <v>116.74935000000001</v>
      </c>
      <c r="V18" s="223">
        <f t="shared" si="5"/>
        <v>18.495623806458241</v>
      </c>
      <c r="W18" s="220">
        <f t="shared" si="5"/>
        <v>7.8249476481266402</v>
      </c>
      <c r="X18" s="220">
        <f t="shared" si="5"/>
        <v>1.9831206704485944</v>
      </c>
      <c r="Y18" s="220">
        <f t="shared" si="5"/>
        <v>-1.76725711216117</v>
      </c>
      <c r="Z18" s="220">
        <f t="shared" si="5"/>
        <v>-4.4324727279412075</v>
      </c>
      <c r="AA18" s="220">
        <f t="shared" si="5"/>
        <v>-6.5718308153336</v>
      </c>
      <c r="AB18" s="220">
        <f t="shared" si="5"/>
        <v>-8.3544204259291988</v>
      </c>
      <c r="AC18" s="220">
        <f t="shared" si="5"/>
        <v>-9.8795471927157745</v>
      </c>
      <c r="AD18" s="220">
        <f t="shared" si="5"/>
        <v>-11.210399603221019</v>
      </c>
      <c r="AE18" s="224">
        <f t="shared" si="5"/>
        <v>-12.389619653739606</v>
      </c>
    </row>
    <row r="19" spans="5:31" x14ac:dyDescent="0.25">
      <c r="E19" s="225">
        <v>1.4E-3</v>
      </c>
      <c r="F19" s="222">
        <f t="shared" si="1"/>
        <v>1.4</v>
      </c>
      <c r="G19" s="221">
        <f t="shared" si="4"/>
        <v>-23.500700000000002</v>
      </c>
      <c r="H19" s="23">
        <f t="shared" si="4"/>
        <v>-13.5007</v>
      </c>
      <c r="I19" s="23">
        <f t="shared" si="4"/>
        <v>-3.5007000000000001</v>
      </c>
      <c r="J19" s="23">
        <f t="shared" si="4"/>
        <v>6.4992999999999999</v>
      </c>
      <c r="K19" s="23">
        <f t="shared" si="4"/>
        <v>16.499299999999998</v>
      </c>
      <c r="L19" s="23">
        <f t="shared" si="4"/>
        <v>26.499299999999998</v>
      </c>
      <c r="M19" s="23">
        <f t="shared" si="4"/>
        <v>36.499299999999998</v>
      </c>
      <c r="N19" s="23">
        <f t="shared" si="4"/>
        <v>46.499299999999998</v>
      </c>
      <c r="O19" s="23">
        <f t="shared" si="4"/>
        <v>56.499299999999998</v>
      </c>
      <c r="P19" s="23">
        <f t="shared" si="4"/>
        <v>66.499300000000005</v>
      </c>
      <c r="Q19" s="23">
        <f t="shared" si="4"/>
        <v>76.499300000000005</v>
      </c>
      <c r="R19" s="23">
        <f t="shared" si="4"/>
        <v>86.499300000000005</v>
      </c>
      <c r="S19" s="23">
        <f t="shared" si="4"/>
        <v>96.499300000000005</v>
      </c>
      <c r="T19" s="23">
        <f t="shared" si="4"/>
        <v>106.49930000000001</v>
      </c>
      <c r="U19" s="222">
        <f t="shared" si="4"/>
        <v>116.49930000000001</v>
      </c>
      <c r="V19" s="223">
        <f t="shared" si="5"/>
        <v>19.692381351923359</v>
      </c>
      <c r="W19" s="220">
        <f t="shared" si="5"/>
        <v>8.922688516219841</v>
      </c>
      <c r="X19" s="220">
        <f t="shared" si="5"/>
        <v>3.0284032747431899</v>
      </c>
      <c r="Y19" s="220">
        <f t="shared" si="5"/>
        <v>-0.87257611066571306</v>
      </c>
      <c r="Z19" s="220">
        <f t="shared" si="5"/>
        <v>-3.5556880095642027</v>
      </c>
      <c r="AA19" s="220">
        <f t="shared" si="5"/>
        <v>-5.709287417399235</v>
      </c>
      <c r="AB19" s="220">
        <f t="shared" si="5"/>
        <v>-7.5036591014046952</v>
      </c>
      <c r="AC19" s="220">
        <f t="shared" si="5"/>
        <v>-9.0388054066721928</v>
      </c>
      <c r="AD19" s="220">
        <f t="shared" si="5"/>
        <v>-10.378355215000436</v>
      </c>
      <c r="AE19" s="224">
        <f t="shared" si="5"/>
        <v>-11.565246028000814</v>
      </c>
    </row>
    <row r="20" spans="5:31" x14ac:dyDescent="0.25">
      <c r="E20" s="225">
        <v>1.5E-3</v>
      </c>
      <c r="F20" s="222">
        <f t="shared" si="1"/>
        <v>1.5</v>
      </c>
      <c r="G20" s="221">
        <f t="shared" si="4"/>
        <v>-23.75075</v>
      </c>
      <c r="H20" s="23">
        <f t="shared" si="4"/>
        <v>-13.75075</v>
      </c>
      <c r="I20" s="23">
        <f t="shared" si="4"/>
        <v>-3.75075</v>
      </c>
      <c r="J20" s="23">
        <f t="shared" si="4"/>
        <v>6.24925</v>
      </c>
      <c r="K20" s="23">
        <f t="shared" si="4"/>
        <v>16.24925</v>
      </c>
      <c r="L20" s="23">
        <f t="shared" si="4"/>
        <v>26.24925</v>
      </c>
      <c r="M20" s="23">
        <f t="shared" si="4"/>
        <v>36.249250000000004</v>
      </c>
      <c r="N20" s="23">
        <f t="shared" si="4"/>
        <v>46.249250000000004</v>
      </c>
      <c r="O20" s="23">
        <f t="shared" si="4"/>
        <v>56.249250000000004</v>
      </c>
      <c r="P20" s="23">
        <f t="shared" si="4"/>
        <v>66.249250000000004</v>
      </c>
      <c r="Q20" s="23">
        <f t="shared" si="4"/>
        <v>76.249250000000004</v>
      </c>
      <c r="R20" s="23">
        <f t="shared" si="4"/>
        <v>86.249250000000004</v>
      </c>
      <c r="S20" s="23">
        <f t="shared" si="4"/>
        <v>96.249250000000004</v>
      </c>
      <c r="T20" s="23">
        <f t="shared" si="4"/>
        <v>106.24925</v>
      </c>
      <c r="U20" s="222">
        <f t="shared" si="4"/>
        <v>116.24925</v>
      </c>
      <c r="V20" s="223">
        <f t="shared" si="5"/>
        <v>20.817004174886467</v>
      </c>
      <c r="W20" s="220">
        <f t="shared" si="5"/>
        <v>9.9537767658630472</v>
      </c>
      <c r="X20" s="220">
        <f t="shared" si="5"/>
        <v>4.0099566247435234</v>
      </c>
      <c r="Y20" s="220">
        <f t="shared" si="5"/>
        <v>-3.4198174023096328E-2</v>
      </c>
      <c r="Z20" s="220">
        <f t="shared" si="5"/>
        <v>-2.7341626840342386</v>
      </c>
      <c r="AA20" s="220">
        <f t="shared" si="5"/>
        <v>-4.9011720086217743</v>
      </c>
      <c r="AB20" s="220">
        <f t="shared" si="5"/>
        <v>-6.7066373400767798</v>
      </c>
      <c r="AC20" s="220">
        <f t="shared" si="5"/>
        <v>-8.2512173195050362</v>
      </c>
      <c r="AD20" s="220">
        <f t="shared" si="5"/>
        <v>-9.5989556536716769</v>
      </c>
      <c r="AE20" s="224">
        <f t="shared" si="5"/>
        <v>-10.793068179782374</v>
      </c>
    </row>
    <row r="21" spans="5:31" x14ac:dyDescent="0.25">
      <c r="E21" s="225">
        <v>1.6000000000000001E-3</v>
      </c>
      <c r="F21" s="222">
        <f t="shared" si="1"/>
        <v>1.6</v>
      </c>
      <c r="G21" s="221">
        <f t="shared" si="4"/>
        <v>-24.000799999999998</v>
      </c>
      <c r="H21" s="23">
        <f t="shared" si="4"/>
        <v>-14.0008</v>
      </c>
      <c r="I21" s="23">
        <f t="shared" si="4"/>
        <v>-4.0007999999999999</v>
      </c>
      <c r="J21" s="23">
        <f t="shared" si="4"/>
        <v>5.9992000000000001</v>
      </c>
      <c r="K21" s="23">
        <f t="shared" si="4"/>
        <v>15.9992</v>
      </c>
      <c r="L21" s="23">
        <f t="shared" si="4"/>
        <v>25.999200000000002</v>
      </c>
      <c r="M21" s="23">
        <f t="shared" si="4"/>
        <v>35.999200000000002</v>
      </c>
      <c r="N21" s="23">
        <f t="shared" si="4"/>
        <v>45.999200000000002</v>
      </c>
      <c r="O21" s="23">
        <f t="shared" si="4"/>
        <v>55.999200000000002</v>
      </c>
      <c r="P21" s="23">
        <f t="shared" si="4"/>
        <v>65.999200000000002</v>
      </c>
      <c r="Q21" s="23">
        <f t="shared" si="4"/>
        <v>75.999200000000002</v>
      </c>
      <c r="R21" s="23">
        <f t="shared" si="4"/>
        <v>85.999200000000002</v>
      </c>
      <c r="S21" s="23">
        <f t="shared" si="4"/>
        <v>95.999200000000002</v>
      </c>
      <c r="T21" s="23">
        <f t="shared" si="4"/>
        <v>105.9992</v>
      </c>
      <c r="U21" s="222">
        <f t="shared" si="4"/>
        <v>115.9992</v>
      </c>
      <c r="V21" s="223">
        <f t="shared" si="5"/>
        <v>21.878314960833265</v>
      </c>
      <c r="W21" s="220">
        <f t="shared" si="5"/>
        <v>10.9263825269493</v>
      </c>
      <c r="X21" s="220">
        <f t="shared" si="5"/>
        <v>4.9356019678401015</v>
      </c>
      <c r="Y21" s="220">
        <f t="shared" si="5"/>
        <v>0.85617812052743147</v>
      </c>
      <c r="Z21" s="220">
        <f t="shared" si="5"/>
        <v>-1.9610279804406314</v>
      </c>
      <c r="AA21" s="220">
        <f t="shared" si="5"/>
        <v>-4.1407170984742194</v>
      </c>
      <c r="AB21" s="220">
        <f t="shared" si="5"/>
        <v>-5.9566715501556846</v>
      </c>
      <c r="AC21" s="220">
        <f t="shared" si="5"/>
        <v>-7.5101707645737674</v>
      </c>
      <c r="AD21" s="220">
        <f t="shared" si="5"/>
        <v>-8.8656508105308269</v>
      </c>
      <c r="AE21" s="224">
        <f t="shared" si="5"/>
        <v>-10.066590777764905</v>
      </c>
    </row>
    <row r="22" spans="5:31" x14ac:dyDescent="0.25">
      <c r="E22" s="225">
        <v>1.6999999999999999E-3</v>
      </c>
      <c r="F22" s="222">
        <f t="shared" si="1"/>
        <v>1.7</v>
      </c>
      <c r="G22" s="221">
        <f t="shared" si="4"/>
        <v>-24.25085</v>
      </c>
      <c r="H22" s="23">
        <f t="shared" si="4"/>
        <v>-14.25085</v>
      </c>
      <c r="I22" s="23">
        <f t="shared" si="4"/>
        <v>-4.2508499999999998</v>
      </c>
      <c r="J22" s="23">
        <f t="shared" si="4"/>
        <v>5.7491500000000002</v>
      </c>
      <c r="K22" s="23">
        <f t="shared" si="4"/>
        <v>15.74915</v>
      </c>
      <c r="L22" s="23">
        <f t="shared" si="4"/>
        <v>25.74915</v>
      </c>
      <c r="M22" s="23">
        <f t="shared" si="4"/>
        <v>35.74915</v>
      </c>
      <c r="N22" s="23">
        <f t="shared" si="4"/>
        <v>45.74915</v>
      </c>
      <c r="O22" s="23">
        <f t="shared" si="4"/>
        <v>55.74915</v>
      </c>
      <c r="P22" s="23">
        <f t="shared" si="4"/>
        <v>65.74915</v>
      </c>
      <c r="Q22" s="23">
        <f t="shared" si="4"/>
        <v>75.74915</v>
      </c>
      <c r="R22" s="23">
        <f t="shared" si="4"/>
        <v>85.74915</v>
      </c>
      <c r="S22" s="23">
        <f t="shared" si="4"/>
        <v>95.74915</v>
      </c>
      <c r="T22" s="23">
        <f t="shared" si="4"/>
        <v>105.74915</v>
      </c>
      <c r="U22" s="222">
        <f t="shared" si="4"/>
        <v>115.74915</v>
      </c>
      <c r="V22" s="223">
        <f t="shared" si="5"/>
        <v>22.8835844709069</v>
      </c>
      <c r="W22" s="220">
        <f t="shared" si="5"/>
        <v>11.847236893530017</v>
      </c>
      <c r="X22" s="220">
        <f t="shared" si="5"/>
        <v>5.8117819632329386</v>
      </c>
      <c r="Y22" s="220">
        <f t="shared" si="5"/>
        <v>1.7025445218954758</v>
      </c>
      <c r="Z22" s="220">
        <f t="shared" si="5"/>
        <v>-1.2306352395748288</v>
      </c>
      <c r="AA22" s="220">
        <f t="shared" si="5"/>
        <v>-3.422357542330936</v>
      </c>
      <c r="AB22" s="220">
        <f t="shared" si="5"/>
        <v>-5.2482657650941551</v>
      </c>
      <c r="AC22" s="220">
        <f t="shared" si="5"/>
        <v>-6.8102286656686779</v>
      </c>
      <c r="AD22" s="220">
        <f t="shared" si="5"/>
        <v>-8.1730547743435373</v>
      </c>
      <c r="AE22" s="224">
        <f t="shared" si="5"/>
        <v>-9.3804730714887867</v>
      </c>
    </row>
    <row r="23" spans="5:31" x14ac:dyDescent="0.25">
      <c r="E23" s="225">
        <v>1.8E-3</v>
      </c>
      <c r="F23" s="222">
        <f t="shared" si="1"/>
        <v>1.8</v>
      </c>
      <c r="G23" s="221">
        <f t="shared" si="4"/>
        <v>-24.500900000000001</v>
      </c>
      <c r="H23" s="23">
        <f t="shared" si="4"/>
        <v>-14.5009</v>
      </c>
      <c r="I23" s="23">
        <f t="shared" si="4"/>
        <v>-4.5008999999999997</v>
      </c>
      <c r="J23" s="23">
        <f t="shared" si="4"/>
        <v>5.4991000000000003</v>
      </c>
      <c r="K23" s="23">
        <f t="shared" si="4"/>
        <v>15.4991</v>
      </c>
      <c r="L23" s="23">
        <f t="shared" si="4"/>
        <v>25.499099999999999</v>
      </c>
      <c r="M23" s="23">
        <f t="shared" si="4"/>
        <v>35.499099999999999</v>
      </c>
      <c r="N23" s="23">
        <f t="shared" si="4"/>
        <v>45.499099999999999</v>
      </c>
      <c r="O23" s="23">
        <f t="shared" si="4"/>
        <v>55.499099999999999</v>
      </c>
      <c r="P23" s="23">
        <f t="shared" si="4"/>
        <v>65.499099999999999</v>
      </c>
      <c r="Q23" s="23">
        <f t="shared" si="4"/>
        <v>75.499099999999999</v>
      </c>
      <c r="R23" s="23">
        <f t="shared" si="4"/>
        <v>85.499099999999999</v>
      </c>
      <c r="S23" s="23">
        <f t="shared" si="4"/>
        <v>95.499099999999999</v>
      </c>
      <c r="T23" s="23">
        <f t="shared" si="4"/>
        <v>105.4991</v>
      </c>
      <c r="U23" s="222">
        <f t="shared" si="4"/>
        <v>115.4991</v>
      </c>
      <c r="V23" s="223">
        <f t="shared" si="5"/>
        <v>23.838878169412084</v>
      </c>
      <c r="W23" s="220">
        <f t="shared" si="5"/>
        <v>12.721953633037066</v>
      </c>
      <c r="X23" s="220">
        <f t="shared" si="5"/>
        <v>6.6438690340783335</v>
      </c>
      <c r="Y23" s="220">
        <f t="shared" si="5"/>
        <v>2.5061878133936792</v>
      </c>
      <c r="Z23" s="220">
        <f t="shared" si="5"/>
        <v>-0.53828152141174934</v>
      </c>
      <c r="AA23" s="220">
        <f t="shared" si="5"/>
        <v>-2.7414601086360322</v>
      </c>
      <c r="AB23" s="220">
        <f t="shared" si="5"/>
        <v>-4.5768444923313547</v>
      </c>
      <c r="AC23" s="220">
        <f t="shared" si="5"/>
        <v>-6.1468646804829286</v>
      </c>
      <c r="AD23" s="220">
        <f t="shared" si="5"/>
        <v>-7.5166839038053102</v>
      </c>
      <c r="AE23" s="224">
        <f t="shared" si="5"/>
        <v>-8.7302691084432702</v>
      </c>
    </row>
    <row r="24" spans="5:31" x14ac:dyDescent="0.25">
      <c r="E24" s="225">
        <v>1.9E-3</v>
      </c>
      <c r="F24" s="222">
        <f t="shared" si="1"/>
        <v>1.9</v>
      </c>
      <c r="G24" s="221">
        <f t="shared" si="4"/>
        <v>-24.75095</v>
      </c>
      <c r="H24" s="23">
        <f t="shared" si="4"/>
        <v>-14.75095</v>
      </c>
      <c r="I24" s="23">
        <f t="shared" si="4"/>
        <v>-4.7509499999999996</v>
      </c>
      <c r="J24" s="23">
        <f t="shared" si="4"/>
        <v>5.2490500000000004</v>
      </c>
      <c r="K24" s="23">
        <f t="shared" si="4"/>
        <v>15.24905</v>
      </c>
      <c r="L24" s="23">
        <f t="shared" si="4"/>
        <v>25.24905</v>
      </c>
      <c r="M24" s="23">
        <f t="shared" si="4"/>
        <v>35.249049999999997</v>
      </c>
      <c r="N24" s="23">
        <f t="shared" si="4"/>
        <v>45.249049999999997</v>
      </c>
      <c r="O24" s="23">
        <f t="shared" si="4"/>
        <v>55.249049999999997</v>
      </c>
      <c r="P24" s="23">
        <f t="shared" si="4"/>
        <v>65.249049999999997</v>
      </c>
      <c r="Q24" s="23">
        <f t="shared" si="4"/>
        <v>75.249049999999997</v>
      </c>
      <c r="R24" s="23">
        <f t="shared" si="4"/>
        <v>85.249049999999997</v>
      </c>
      <c r="S24" s="23">
        <f t="shared" si="4"/>
        <v>95.249049999999997</v>
      </c>
      <c r="T24" s="23">
        <f t="shared" si="4"/>
        <v>105.24905</v>
      </c>
      <c r="U24" s="222">
        <f t="shared" si="4"/>
        <v>115.24905</v>
      </c>
      <c r="V24" s="223">
        <f t="shared" si="5"/>
        <v>24.749310768758527</v>
      </c>
      <c r="W24" s="220">
        <f t="shared" si="5"/>
        <v>13.555265373135576</v>
      </c>
      <c r="X24" s="220">
        <f t="shared" si="5"/>
        <v>7.436391716590034</v>
      </c>
      <c r="Y24" s="220">
        <f t="shared" si="5"/>
        <v>3.2714995854121014</v>
      </c>
      <c r="Z24" s="220">
        <f t="shared" si="5"/>
        <v>0.13650867497671193</v>
      </c>
      <c r="AA24" s="220">
        <f t="shared" si="5"/>
        <v>-2.0941252694557448</v>
      </c>
      <c r="AB24" s="220">
        <f t="shared" si="5"/>
        <v>-3.9385569150083191</v>
      </c>
      <c r="AC24" s="220">
        <f t="shared" si="5"/>
        <v>-5.5162694556905203</v>
      </c>
      <c r="AD24" s="220">
        <f t="shared" si="5"/>
        <v>-6.892764867197771</v>
      </c>
      <c r="AE24" s="224">
        <f t="shared" si="5"/>
        <v>-8.1122373493312665</v>
      </c>
    </row>
    <row r="25" spans="5:31" x14ac:dyDescent="0.25">
      <c r="E25" s="225">
        <v>2E-3</v>
      </c>
      <c r="F25" s="222">
        <f t="shared" si="1"/>
        <v>2</v>
      </c>
      <c r="G25" s="221">
        <f t="shared" si="4"/>
        <v>-25.001000000000001</v>
      </c>
      <c r="H25" s="23">
        <f t="shared" si="4"/>
        <v>-15.001000000000001</v>
      </c>
      <c r="I25" s="23">
        <f t="shared" si="4"/>
        <v>-5.0010000000000003</v>
      </c>
      <c r="J25" s="23">
        <f t="shared" si="4"/>
        <v>4.9989999999999997</v>
      </c>
      <c r="K25" s="23">
        <f t="shared" si="4"/>
        <v>14.998999999999999</v>
      </c>
      <c r="L25" s="23">
        <f t="shared" si="4"/>
        <v>24.998999999999999</v>
      </c>
      <c r="M25" s="23">
        <f t="shared" si="4"/>
        <v>34.999000000000002</v>
      </c>
      <c r="N25" s="23">
        <f t="shared" si="4"/>
        <v>44.999000000000002</v>
      </c>
      <c r="O25" s="23">
        <f t="shared" si="4"/>
        <v>54.999000000000002</v>
      </c>
      <c r="P25" s="23">
        <f t="shared" si="4"/>
        <v>64.998999999999995</v>
      </c>
      <c r="Q25" s="23">
        <f t="shared" si="4"/>
        <v>74.998999999999995</v>
      </c>
      <c r="R25" s="23">
        <f t="shared" si="4"/>
        <v>84.998999999999995</v>
      </c>
      <c r="S25" s="23">
        <f t="shared" si="4"/>
        <v>94.998999999999995</v>
      </c>
      <c r="T25" s="23">
        <f t="shared" si="4"/>
        <v>104.999</v>
      </c>
      <c r="U25" s="222">
        <f t="shared" si="4"/>
        <v>114.999</v>
      </c>
      <c r="V25" s="223">
        <f t="shared" si="5"/>
        <v>25.619236647860301</v>
      </c>
      <c r="W25" s="220">
        <f t="shared" si="5"/>
        <v>14.351200244911919</v>
      </c>
      <c r="X25" s="220">
        <f t="shared" si="5"/>
        <v>8.1932039233597642</v>
      </c>
      <c r="Y25" s="220">
        <f t="shared" si="5"/>
        <v>4.0022168686342665</v>
      </c>
      <c r="Z25" s="220">
        <f t="shared" si="5"/>
        <v>0.84786933761241201</v>
      </c>
      <c r="AA25" s="220">
        <f t="shared" si="5"/>
        <v>-1.4770391947029151</v>
      </c>
      <c r="AB25" s="220">
        <f t="shared" si="5"/>
        <v>-3.3301306908593977</v>
      </c>
      <c r="AC25" s="220">
        <f t="shared" si="5"/>
        <v>-4.9152059626423457</v>
      </c>
      <c r="AD25" s="220">
        <f t="shared" si="5"/>
        <v>-6.2980913136759664</v>
      </c>
      <c r="AE25" s="224">
        <f t="shared" si="5"/>
        <v>-7.5231985185189227</v>
      </c>
    </row>
    <row r="26" spans="5:31" x14ac:dyDescent="0.25">
      <c r="E26" s="225">
        <v>2.0999999999999999E-3</v>
      </c>
      <c r="F26" s="222">
        <f t="shared" si="1"/>
        <v>2.1</v>
      </c>
      <c r="G26" s="221">
        <f t="shared" si="4"/>
        <v>-25.251049999999999</v>
      </c>
      <c r="H26" s="23">
        <f t="shared" si="4"/>
        <v>-15.251049999999999</v>
      </c>
      <c r="I26" s="23">
        <f t="shared" si="4"/>
        <v>-5.2510499999999993</v>
      </c>
      <c r="J26" s="23">
        <f t="shared" si="4"/>
        <v>4.7489500000000007</v>
      </c>
      <c r="K26" s="23">
        <f t="shared" si="4"/>
        <v>14.748950000000001</v>
      </c>
      <c r="L26" s="23">
        <f t="shared" si="4"/>
        <v>24.748950000000001</v>
      </c>
      <c r="M26" s="23">
        <f t="shared" si="4"/>
        <v>34.748950000000001</v>
      </c>
      <c r="N26" s="23">
        <f t="shared" si="4"/>
        <v>44.748950000000001</v>
      </c>
      <c r="O26" s="23">
        <f t="shared" si="4"/>
        <v>54.748950000000001</v>
      </c>
      <c r="P26" s="23">
        <f t="shared" si="4"/>
        <v>64.748950000000008</v>
      </c>
      <c r="Q26" s="23">
        <f t="shared" si="4"/>
        <v>74.748950000000008</v>
      </c>
      <c r="R26" s="23">
        <f t="shared" si="4"/>
        <v>84.748950000000008</v>
      </c>
      <c r="S26" s="23">
        <f t="shared" si="4"/>
        <v>94.748950000000008</v>
      </c>
      <c r="T26" s="23">
        <f t="shared" si="4"/>
        <v>104.74895000000001</v>
      </c>
      <c r="U26" s="222">
        <f t="shared" si="4"/>
        <v>114.74895000000001</v>
      </c>
      <c r="V26" s="223">
        <f t="shared" ref="V26:AE35" si="6">Enthalpie_p_phi_x(hx_druck,V$4,$E26)-$E26*R0()</f>
        <v>26.452394655705593</v>
      </c>
      <c r="W26" s="220">
        <f t="shared" si="6"/>
        <v>15.113216180800986</v>
      </c>
      <c r="X26" s="220">
        <f t="shared" si="6"/>
        <v>8.9176136144914011</v>
      </c>
      <c r="Y26" s="220">
        <f t="shared" si="6"/>
        <v>4.7015470234747063</v>
      </c>
      <c r="Z26" s="220">
        <f t="shared" si="6"/>
        <v>1.5285981165318825</v>
      </c>
      <c r="AA26" s="220">
        <f t="shared" si="6"/>
        <v>-0.88736139514335921</v>
      </c>
      <c r="AB26" s="220">
        <f t="shared" si="6"/>
        <v>-2.7487609682436442</v>
      </c>
      <c r="AC26" s="220">
        <f t="shared" si="6"/>
        <v>-4.3408996825846131</v>
      </c>
      <c r="AD26" s="220">
        <f t="shared" si="6"/>
        <v>-5.7299150745597469</v>
      </c>
      <c r="AE26" s="224">
        <f t="shared" si="6"/>
        <v>-6.9604277023667631</v>
      </c>
    </row>
    <row r="27" spans="5:31" x14ac:dyDescent="0.25">
      <c r="E27" s="225">
        <v>2.2000000000000001E-3</v>
      </c>
      <c r="F27" s="222">
        <f t="shared" si="1"/>
        <v>2.2000000000000002</v>
      </c>
      <c r="G27" s="221">
        <f t="shared" si="4"/>
        <v>-25.501100000000001</v>
      </c>
      <c r="H27" s="23">
        <f t="shared" si="4"/>
        <v>-15.501100000000001</v>
      </c>
      <c r="I27" s="23">
        <f t="shared" si="4"/>
        <v>-5.5011000000000001</v>
      </c>
      <c r="J27" s="23">
        <f t="shared" si="4"/>
        <v>4.4988999999999999</v>
      </c>
      <c r="K27" s="23">
        <f t="shared" si="4"/>
        <v>14.498899999999999</v>
      </c>
      <c r="L27" s="23">
        <f t="shared" si="4"/>
        <v>24.498899999999999</v>
      </c>
      <c r="M27" s="23">
        <f t="shared" si="4"/>
        <v>34.498899999999999</v>
      </c>
      <c r="N27" s="23">
        <f t="shared" si="4"/>
        <v>44.498899999999999</v>
      </c>
      <c r="O27" s="23">
        <f t="shared" si="4"/>
        <v>54.498899999999999</v>
      </c>
      <c r="P27" s="23">
        <f t="shared" si="4"/>
        <v>64.498900000000006</v>
      </c>
      <c r="Q27" s="23">
        <f t="shared" si="4"/>
        <v>74.498900000000006</v>
      </c>
      <c r="R27" s="23">
        <f t="shared" si="4"/>
        <v>84.498900000000006</v>
      </c>
      <c r="S27" s="23">
        <f t="shared" si="4"/>
        <v>94.498900000000006</v>
      </c>
      <c r="T27" s="23">
        <f t="shared" si="4"/>
        <v>104.49890000000001</v>
      </c>
      <c r="U27" s="222">
        <f t="shared" si="4"/>
        <v>114.49890000000001</v>
      </c>
      <c r="V27" s="223">
        <f t="shared" si="6"/>
        <v>27.252019851157833</v>
      </c>
      <c r="W27" s="220">
        <f t="shared" si="6"/>
        <v>15.844304525321327</v>
      </c>
      <c r="X27" s="220">
        <f t="shared" si="6"/>
        <v>9.6124820554982833</v>
      </c>
      <c r="Y27" s="220">
        <f t="shared" si="6"/>
        <v>5.3722640729190347</v>
      </c>
      <c r="Z27" s="220">
        <f t="shared" si="6"/>
        <v>2.181404068334559</v>
      </c>
      <c r="AA27" s="220">
        <f t="shared" si="6"/>
        <v>-0.32263816250537136</v>
      </c>
      <c r="AB27" s="220">
        <f t="shared" si="6"/>
        <v>-2.1920248862528853</v>
      </c>
      <c r="AC27" s="220">
        <f t="shared" si="6"/>
        <v>-3.7909540093661351</v>
      </c>
      <c r="AD27" s="220">
        <f t="shared" si="6"/>
        <v>-5.1858623504137489</v>
      </c>
      <c r="AE27" s="224">
        <f t="shared" si="6"/>
        <v>-6.4215712287753206</v>
      </c>
    </row>
    <row r="28" spans="5:31" x14ac:dyDescent="0.25">
      <c r="E28" s="225">
        <v>2.3E-3</v>
      </c>
      <c r="F28" s="222">
        <f t="shared" si="1"/>
        <v>2.2999999999999998</v>
      </c>
      <c r="G28" s="221">
        <f t="shared" si="4"/>
        <v>-25.751149999999999</v>
      </c>
      <c r="H28" s="23">
        <f t="shared" si="4"/>
        <v>-15.751149999999999</v>
      </c>
      <c r="I28" s="23">
        <f t="shared" si="4"/>
        <v>-5.75115</v>
      </c>
      <c r="J28" s="23">
        <f t="shared" si="4"/>
        <v>4.24885</v>
      </c>
      <c r="K28" s="23">
        <f t="shared" si="4"/>
        <v>14.248850000000001</v>
      </c>
      <c r="L28" s="23">
        <f t="shared" si="4"/>
        <v>24.248850000000001</v>
      </c>
      <c r="M28" s="23">
        <f t="shared" si="4"/>
        <v>34.248849999999997</v>
      </c>
      <c r="N28" s="23">
        <f t="shared" si="4"/>
        <v>44.248849999999997</v>
      </c>
      <c r="O28" s="23">
        <f t="shared" si="4"/>
        <v>54.248849999999997</v>
      </c>
      <c r="P28" s="23">
        <f t="shared" si="4"/>
        <v>64.248850000000004</v>
      </c>
      <c r="Q28" s="23">
        <f t="shared" si="4"/>
        <v>74.248850000000004</v>
      </c>
      <c r="R28" s="23">
        <f t="shared" si="4"/>
        <v>84.248850000000004</v>
      </c>
      <c r="S28" s="23">
        <f t="shared" si="4"/>
        <v>94.248850000000004</v>
      </c>
      <c r="T28" s="23">
        <f t="shared" si="4"/>
        <v>104.24885</v>
      </c>
      <c r="U28" s="222">
        <f t="shared" si="4"/>
        <v>114.24885</v>
      </c>
      <c r="V28" s="223">
        <f t="shared" si="6"/>
        <v>28.020930869582234</v>
      </c>
      <c r="W28" s="220">
        <f t="shared" si="6"/>
        <v>16.547071029203838</v>
      </c>
      <c r="X28" s="220">
        <f t="shared" si="6"/>
        <v>10.280301399974405</v>
      </c>
      <c r="Y28" s="220">
        <f t="shared" si="6"/>
        <v>6.0167839930560882</v>
      </c>
      <c r="Z28" s="220">
        <f t="shared" si="6"/>
        <v>2.8086464481962041</v>
      </c>
      <c r="AA28" s="220">
        <f t="shared" si="6"/>
        <v>0.24897425137509011</v>
      </c>
      <c r="AB28" s="220">
        <f t="shared" si="6"/>
        <v>-1.6578148304916844</v>
      </c>
      <c r="AC28" s="220">
        <f t="shared" si="6"/>
        <v>-3.2632842112175409</v>
      </c>
      <c r="AD28" s="220">
        <f t="shared" si="6"/>
        <v>-4.6638682863327894</v>
      </c>
      <c r="AE28" s="224">
        <f t="shared" si="6"/>
        <v>-5.904581784075666</v>
      </c>
    </row>
    <row r="29" spans="5:31" x14ac:dyDescent="0.25">
      <c r="E29" s="225">
        <v>2.3999999999999998E-3</v>
      </c>
      <c r="F29" s="222">
        <f t="shared" si="1"/>
        <v>2.4</v>
      </c>
      <c r="G29" s="221">
        <f t="shared" si="4"/>
        <v>-26.001200000000001</v>
      </c>
      <c r="H29" s="23">
        <f t="shared" si="4"/>
        <v>-16.001200000000001</v>
      </c>
      <c r="I29" s="23">
        <f t="shared" si="4"/>
        <v>-6.0011999999999999</v>
      </c>
      <c r="J29" s="23">
        <f t="shared" si="4"/>
        <v>3.9988000000000001</v>
      </c>
      <c r="K29" s="23">
        <f t="shared" si="4"/>
        <v>13.998799999999999</v>
      </c>
      <c r="L29" s="23">
        <f t="shared" si="4"/>
        <v>23.998799999999999</v>
      </c>
      <c r="M29" s="23">
        <f t="shared" si="4"/>
        <v>33.998800000000003</v>
      </c>
      <c r="N29" s="23">
        <f t="shared" si="4"/>
        <v>43.998800000000003</v>
      </c>
      <c r="O29" s="23">
        <f t="shared" si="4"/>
        <v>53.998800000000003</v>
      </c>
      <c r="P29" s="23">
        <f t="shared" si="4"/>
        <v>63.998800000000003</v>
      </c>
      <c r="Q29" s="23">
        <f t="shared" si="4"/>
        <v>73.998800000000003</v>
      </c>
      <c r="R29" s="23">
        <f t="shared" si="4"/>
        <v>83.998800000000003</v>
      </c>
      <c r="S29" s="23">
        <f t="shared" si="4"/>
        <v>93.998800000000003</v>
      </c>
      <c r="T29" s="23">
        <f t="shared" si="4"/>
        <v>103.9988</v>
      </c>
      <c r="U29" s="222">
        <f t="shared" si="4"/>
        <v>113.9988</v>
      </c>
      <c r="V29" s="223">
        <f t="shared" si="6"/>
        <v>28.761599048332119</v>
      </c>
      <c r="W29" s="220">
        <f t="shared" si="6"/>
        <v>17.223799920342291</v>
      </c>
      <c r="X29" s="220">
        <f t="shared" si="6"/>
        <v>10.923256055251191</v>
      </c>
      <c r="Y29" s="220">
        <f t="shared" si="6"/>
        <v>6.6372242613068062</v>
      </c>
      <c r="Z29" s="220">
        <f t="shared" si="6"/>
        <v>3.4123929031197138</v>
      </c>
      <c r="AA29" s="220">
        <f t="shared" si="6"/>
        <v>0.83955361358304259</v>
      </c>
      <c r="AB29" s="220">
        <f t="shared" si="6"/>
        <v>-1.144285704351832</v>
      </c>
      <c r="AC29" s="220">
        <f t="shared" si="6"/>
        <v>-2.7560652608289748</v>
      </c>
      <c r="AD29" s="220">
        <f t="shared" si="6"/>
        <v>-4.1621252875998653</v>
      </c>
      <c r="AE29" s="224">
        <f t="shared" si="6"/>
        <v>-5.4076671573495725</v>
      </c>
    </row>
    <row r="30" spans="5:31" x14ac:dyDescent="0.25">
      <c r="E30" s="225">
        <v>2.5000000000000001E-3</v>
      </c>
      <c r="F30" s="222">
        <f t="shared" si="1"/>
        <v>2.5</v>
      </c>
      <c r="G30" s="221">
        <f t="shared" si="4"/>
        <v>-26.251249999999999</v>
      </c>
      <c r="H30" s="23">
        <f t="shared" si="4"/>
        <v>-16.251249999999999</v>
      </c>
      <c r="I30" s="23">
        <f t="shared" si="4"/>
        <v>-6.2512499999999998</v>
      </c>
      <c r="J30" s="23">
        <f t="shared" si="4"/>
        <v>3.7487500000000002</v>
      </c>
      <c r="K30" s="23">
        <f t="shared" si="4"/>
        <v>13.748750000000001</v>
      </c>
      <c r="L30" s="23">
        <f t="shared" si="4"/>
        <v>23.748750000000001</v>
      </c>
      <c r="M30" s="23">
        <f t="shared" si="4"/>
        <v>33.748750000000001</v>
      </c>
      <c r="N30" s="23">
        <f t="shared" si="4"/>
        <v>43.748750000000001</v>
      </c>
      <c r="O30" s="23">
        <f t="shared" si="4"/>
        <v>53.748750000000001</v>
      </c>
      <c r="P30" s="23">
        <f t="shared" si="4"/>
        <v>63.748750000000001</v>
      </c>
      <c r="Q30" s="23">
        <f t="shared" si="4"/>
        <v>73.748750000000001</v>
      </c>
      <c r="R30" s="23">
        <f t="shared" si="4"/>
        <v>83.748750000000001</v>
      </c>
      <c r="S30" s="23">
        <f t="shared" si="4"/>
        <v>93.748750000000001</v>
      </c>
      <c r="T30" s="23">
        <f t="shared" si="4"/>
        <v>103.74875</v>
      </c>
      <c r="U30" s="222">
        <f t="shared" si="4"/>
        <v>113.74875</v>
      </c>
      <c r="V30" s="223">
        <f t="shared" si="6"/>
        <v>29.476203711967123</v>
      </c>
      <c r="W30" s="220">
        <f t="shared" si="6"/>
        <v>17.876505136881175</v>
      </c>
      <c r="X30" s="220">
        <f t="shared" si="6"/>
        <v>11.543271747164653</v>
      </c>
      <c r="Y30" s="220">
        <f t="shared" si="6"/>
        <v>7.2354514646913222</v>
      </c>
      <c r="Z30" s="220">
        <f t="shared" si="6"/>
        <v>3.9944659944124501</v>
      </c>
      <c r="AA30" s="220">
        <f t="shared" si="6"/>
        <v>1.4088861835758637</v>
      </c>
      <c r="AB30" s="220">
        <f t="shared" si="6"/>
        <v>-0.64981281885373576</v>
      </c>
      <c r="AC30" s="220">
        <f t="shared" si="6"/>
        <v>-2.2676901722687988</v>
      </c>
      <c r="AD30" s="220">
        <f t="shared" si="6"/>
        <v>-3.6790417450890915</v>
      </c>
      <c r="AE30" s="224">
        <f t="shared" si="6"/>
        <v>-4.9292493087704976</v>
      </c>
    </row>
    <row r="31" spans="5:31" x14ac:dyDescent="0.25">
      <c r="E31" s="225">
        <v>2.5999999999999999E-3</v>
      </c>
      <c r="F31" s="222">
        <f t="shared" si="1"/>
        <v>2.6</v>
      </c>
      <c r="G31" s="221">
        <f t="shared" si="4"/>
        <v>-26.501300000000001</v>
      </c>
      <c r="H31" s="23">
        <f t="shared" si="4"/>
        <v>-16.501300000000001</v>
      </c>
      <c r="I31" s="23">
        <f t="shared" si="4"/>
        <v>-6.5012999999999996</v>
      </c>
      <c r="J31" s="23">
        <f t="shared" si="4"/>
        <v>3.4987000000000004</v>
      </c>
      <c r="K31" s="23">
        <f t="shared" si="4"/>
        <v>13.498699999999999</v>
      </c>
      <c r="L31" s="23">
        <f t="shared" si="4"/>
        <v>23.498699999999999</v>
      </c>
      <c r="M31" s="23">
        <f t="shared" si="4"/>
        <v>33.498699999999999</v>
      </c>
      <c r="N31" s="23">
        <f t="shared" ref="H31:U46" si="7">N$4-$E31*R0()</f>
        <v>43.498699999999999</v>
      </c>
      <c r="O31" s="23">
        <f t="shared" si="7"/>
        <v>53.498699999999999</v>
      </c>
      <c r="P31" s="23">
        <f t="shared" si="7"/>
        <v>63.498699999999999</v>
      </c>
      <c r="Q31" s="23">
        <f t="shared" si="7"/>
        <v>73.498699999999999</v>
      </c>
      <c r="R31" s="23">
        <f t="shared" si="7"/>
        <v>83.498699999999999</v>
      </c>
      <c r="S31" s="23">
        <f t="shared" si="7"/>
        <v>93.498699999999999</v>
      </c>
      <c r="T31" s="23">
        <f t="shared" si="7"/>
        <v>103.4987</v>
      </c>
      <c r="U31" s="222">
        <f t="shared" si="7"/>
        <v>113.4987</v>
      </c>
      <c r="V31" s="223">
        <f t="shared" si="6"/>
        <v>30.166676824652136</v>
      </c>
      <c r="W31" s="220">
        <f t="shared" si="6"/>
        <v>18.506971699364104</v>
      </c>
      <c r="X31" s="220">
        <f t="shared" si="6"/>
        <v>12.142055137281975</v>
      </c>
      <c r="Y31" s="220">
        <f t="shared" si="6"/>
        <v>7.8131197383882958</v>
      </c>
      <c r="Z31" s="220">
        <f t="shared" si="6"/>
        <v>4.5564807576515856</v>
      </c>
      <c r="AA31" s="220">
        <f t="shared" si="6"/>
        <v>1.9585560647305664</v>
      </c>
      <c r="AB31" s="220">
        <f t="shared" si="6"/>
        <v>-0.17295792880224958</v>
      </c>
      <c r="AC31" s="220">
        <f t="shared" si="6"/>
        <v>-1.7967363983518663</v>
      </c>
      <c r="AD31" s="220">
        <f t="shared" si="6"/>
        <v>-3.2132087464989443</v>
      </c>
      <c r="AE31" s="224">
        <f t="shared" si="6"/>
        <v>-4.4679313578984052</v>
      </c>
    </row>
    <row r="32" spans="5:31" x14ac:dyDescent="0.25">
      <c r="E32" s="225">
        <v>2.7000000000000001E-3</v>
      </c>
      <c r="F32" s="222">
        <f t="shared" si="1"/>
        <v>2.7</v>
      </c>
      <c r="G32" s="221">
        <f t="shared" si="4"/>
        <v>-26.751350000000002</v>
      </c>
      <c r="H32" s="23">
        <f t="shared" si="7"/>
        <v>-16.751350000000002</v>
      </c>
      <c r="I32" s="23">
        <f t="shared" si="7"/>
        <v>-6.7513500000000004</v>
      </c>
      <c r="J32" s="23">
        <f t="shared" si="7"/>
        <v>3.2486499999999996</v>
      </c>
      <c r="K32" s="23">
        <f t="shared" si="7"/>
        <v>13.24865</v>
      </c>
      <c r="L32" s="23">
        <f t="shared" si="7"/>
        <v>23.248649999999998</v>
      </c>
      <c r="M32" s="23">
        <f t="shared" si="7"/>
        <v>33.248649999999998</v>
      </c>
      <c r="N32" s="23">
        <f t="shared" si="7"/>
        <v>43.248649999999998</v>
      </c>
      <c r="O32" s="23">
        <f t="shared" si="7"/>
        <v>53.248649999999998</v>
      </c>
      <c r="P32" s="23">
        <f t="shared" si="7"/>
        <v>63.248649999999998</v>
      </c>
      <c r="Q32" s="23">
        <f t="shared" si="7"/>
        <v>73.248649999999998</v>
      </c>
      <c r="R32" s="23">
        <f t="shared" si="7"/>
        <v>83.248649999999998</v>
      </c>
      <c r="S32" s="23">
        <f t="shared" si="7"/>
        <v>93.248649999999998</v>
      </c>
      <c r="T32" s="23">
        <f t="shared" si="7"/>
        <v>103.24865</v>
      </c>
      <c r="U32" s="222">
        <f t="shared" si="7"/>
        <v>113.24865</v>
      </c>
      <c r="V32" s="223">
        <f t="shared" si="6"/>
        <v>30.834739380397124</v>
      </c>
      <c r="W32" s="220">
        <f t="shared" si="6"/>
        <v>19.116789421835328</v>
      </c>
      <c r="X32" s="220">
        <f t="shared" si="6"/>
        <v>12.721126100957571</v>
      </c>
      <c r="Y32" s="220">
        <f t="shared" si="6"/>
        <v>8.3717020814212972</v>
      </c>
      <c r="Z32" s="220">
        <f t="shared" si="6"/>
        <v>5.0998753010683409</v>
      </c>
      <c r="AA32" s="220">
        <f t="shared" si="6"/>
        <v>2.4899737645718663</v>
      </c>
      <c r="AB32" s="220">
        <f t="shared" si="6"/>
        <v>0.32635723825604668</v>
      </c>
      <c r="AC32" s="220">
        <f t="shared" si="6"/>
        <v>-1.3419384827892831</v>
      </c>
      <c r="AD32" s="220">
        <f t="shared" si="6"/>
        <v>-2.7633729843662329</v>
      </c>
      <c r="AE32" s="224">
        <f t="shared" si="6"/>
        <v>-4.0224707175511023</v>
      </c>
    </row>
    <row r="33" spans="5:31" x14ac:dyDescent="0.25">
      <c r="E33" s="225">
        <v>2.8E-3</v>
      </c>
      <c r="F33" s="222">
        <f t="shared" si="1"/>
        <v>2.8</v>
      </c>
      <c r="G33" s="221">
        <f t="shared" si="4"/>
        <v>-27.0014</v>
      </c>
      <c r="H33" s="23">
        <f t="shared" si="7"/>
        <v>-17.0014</v>
      </c>
      <c r="I33" s="23">
        <f t="shared" si="7"/>
        <v>-7.0014000000000003</v>
      </c>
      <c r="J33" s="23">
        <f t="shared" si="7"/>
        <v>2.9985999999999997</v>
      </c>
      <c r="K33" s="23">
        <f t="shared" si="7"/>
        <v>12.9986</v>
      </c>
      <c r="L33" s="23">
        <f t="shared" si="7"/>
        <v>22.9986</v>
      </c>
      <c r="M33" s="23">
        <f t="shared" si="7"/>
        <v>32.998599999999996</v>
      </c>
      <c r="N33" s="23">
        <f t="shared" si="7"/>
        <v>42.998599999999996</v>
      </c>
      <c r="O33" s="23">
        <f t="shared" si="7"/>
        <v>52.998599999999996</v>
      </c>
      <c r="P33" s="23">
        <f t="shared" si="7"/>
        <v>62.998599999999996</v>
      </c>
      <c r="Q33" s="23">
        <f t="shared" si="7"/>
        <v>72.998599999999996</v>
      </c>
      <c r="R33" s="23">
        <f t="shared" si="7"/>
        <v>82.998599999999996</v>
      </c>
      <c r="S33" s="23">
        <f t="shared" si="7"/>
        <v>92.998599999999996</v>
      </c>
      <c r="T33" s="23">
        <f t="shared" si="7"/>
        <v>102.9986</v>
      </c>
      <c r="U33" s="222">
        <f t="shared" si="7"/>
        <v>112.9986</v>
      </c>
      <c r="V33" s="223">
        <f t="shared" si="6"/>
        <v>31.481931305925134</v>
      </c>
      <c r="W33" s="220">
        <f t="shared" si="6"/>
        <v>19.707380608560882</v>
      </c>
      <c r="X33" s="220">
        <f t="shared" si="6"/>
        <v>13.281844244232285</v>
      </c>
      <c r="Y33" s="220">
        <f t="shared" si="6"/>
        <v>8.9125160813325941</v>
      </c>
      <c r="Z33" s="220">
        <f t="shared" si="6"/>
        <v>5.6259359397846875</v>
      </c>
      <c r="AA33" s="220">
        <f t="shared" si="6"/>
        <v>3.0044008614646831</v>
      </c>
      <c r="AB33" s="220">
        <f t="shared" si="6"/>
        <v>0.83123095404686165</v>
      </c>
      <c r="AC33" s="220">
        <f t="shared" si="6"/>
        <v>-0.9021656170954877</v>
      </c>
      <c r="AD33" s="220">
        <f t="shared" si="6"/>
        <v>-2.3284145232824658</v>
      </c>
      <c r="AE33" s="224">
        <f t="shared" si="6"/>
        <v>-3.5917570466605615</v>
      </c>
    </row>
    <row r="34" spans="5:31" x14ac:dyDescent="0.25">
      <c r="E34" s="225">
        <v>2.8999999999999998E-3</v>
      </c>
      <c r="F34" s="222">
        <f t="shared" si="1"/>
        <v>2.9</v>
      </c>
      <c r="G34" s="221">
        <f t="shared" si="4"/>
        <v>-27.251449999999998</v>
      </c>
      <c r="H34" s="23">
        <f t="shared" si="7"/>
        <v>-17.251449999999998</v>
      </c>
      <c r="I34" s="23">
        <f t="shared" si="7"/>
        <v>-7.2514499999999993</v>
      </c>
      <c r="J34" s="23">
        <f t="shared" si="7"/>
        <v>2.7485500000000007</v>
      </c>
      <c r="K34" s="23">
        <f t="shared" si="7"/>
        <v>12.748550000000002</v>
      </c>
      <c r="L34" s="23">
        <f t="shared" si="7"/>
        <v>22.748550000000002</v>
      </c>
      <c r="M34" s="23">
        <f t="shared" si="7"/>
        <v>32.748550000000002</v>
      </c>
      <c r="N34" s="23">
        <f t="shared" si="7"/>
        <v>42.748550000000002</v>
      </c>
      <c r="O34" s="23">
        <f t="shared" si="7"/>
        <v>52.748550000000002</v>
      </c>
      <c r="P34" s="23">
        <f t="shared" si="7"/>
        <v>62.748550000000002</v>
      </c>
      <c r="Q34" s="23">
        <f t="shared" si="7"/>
        <v>72.748549999999994</v>
      </c>
      <c r="R34" s="23">
        <f t="shared" si="7"/>
        <v>82.748549999999994</v>
      </c>
      <c r="S34" s="23">
        <f t="shared" si="7"/>
        <v>92.748549999999994</v>
      </c>
      <c r="T34" s="23">
        <f t="shared" si="7"/>
        <v>102.74854999999999</v>
      </c>
      <c r="U34" s="222">
        <f t="shared" si="7"/>
        <v>112.74854999999999</v>
      </c>
      <c r="V34" s="223">
        <f t="shared" si="6"/>
        <v>32.10963622058793</v>
      </c>
      <c r="W34" s="220">
        <f t="shared" si="6"/>
        <v>20.280022983534867</v>
      </c>
      <c r="X34" s="220">
        <f t="shared" si="6"/>
        <v>13.825430854637808</v>
      </c>
      <c r="Y34" s="220">
        <f t="shared" si="6"/>
        <v>9.4367452078823426</v>
      </c>
      <c r="Z34" s="220">
        <f t="shared" si="6"/>
        <v>6.1358179998177098</v>
      </c>
      <c r="AA34" s="220">
        <f t="shared" si="6"/>
        <v>3.5029704208718746</v>
      </c>
      <c r="AB34" s="220">
        <f t="shared" si="6"/>
        <v>1.3205112084540938</v>
      </c>
      <c r="AC34" s="220">
        <f t="shared" si="6"/>
        <v>-0.4764030808963442</v>
      </c>
      <c r="AD34" s="220">
        <f t="shared" si="6"/>
        <v>-1.9073284143866802</v>
      </c>
      <c r="AE34" s="224">
        <f t="shared" si="6"/>
        <v>-3.1747940185167041</v>
      </c>
    </row>
    <row r="35" spans="5:31" x14ac:dyDescent="0.25">
      <c r="E35" s="225">
        <v>3.0000000000000001E-3</v>
      </c>
      <c r="F35" s="222">
        <f t="shared" si="1"/>
        <v>3</v>
      </c>
      <c r="G35" s="221">
        <f t="shared" si="4"/>
        <v>-27.5015</v>
      </c>
      <c r="H35" s="23">
        <f t="shared" si="7"/>
        <v>-17.5015</v>
      </c>
      <c r="I35" s="23">
        <f t="shared" si="7"/>
        <v>-7.5015000000000001</v>
      </c>
      <c r="J35" s="23">
        <f t="shared" si="7"/>
        <v>2.4984999999999999</v>
      </c>
      <c r="K35" s="23">
        <f t="shared" si="7"/>
        <v>12.4985</v>
      </c>
      <c r="L35" s="23">
        <f t="shared" si="7"/>
        <v>22.4985</v>
      </c>
      <c r="M35" s="23">
        <f t="shared" si="7"/>
        <v>32.4985</v>
      </c>
      <c r="N35" s="23">
        <f t="shared" si="7"/>
        <v>42.4985</v>
      </c>
      <c r="O35" s="23">
        <f t="shared" si="7"/>
        <v>52.4985</v>
      </c>
      <c r="P35" s="23">
        <f t="shared" si="7"/>
        <v>62.4985</v>
      </c>
      <c r="Q35" s="23">
        <f t="shared" si="7"/>
        <v>72.498500000000007</v>
      </c>
      <c r="R35" s="23">
        <f t="shared" si="7"/>
        <v>82.498500000000007</v>
      </c>
      <c r="S35" s="23">
        <f t="shared" si="7"/>
        <v>92.498500000000007</v>
      </c>
      <c r="T35" s="23">
        <f t="shared" si="7"/>
        <v>102.49850000000001</v>
      </c>
      <c r="U35" s="222">
        <f t="shared" si="7"/>
        <v>112.49850000000001</v>
      </c>
      <c r="V35" s="223">
        <f t="shared" si="6"/>
        <v>32.719102082844053</v>
      </c>
      <c r="W35" s="220">
        <f t="shared" si="6"/>
        <v>20.835868807662433</v>
      </c>
      <c r="X35" s="220">
        <f t="shared" si="6"/>
        <v>14.352987200826107</v>
      </c>
      <c r="Y35" s="220">
        <f t="shared" si="6"/>
        <v>9.9454565638270118</v>
      </c>
      <c r="Z35" s="220">
        <f t="shared" si="6"/>
        <v>6.6305631598685775</v>
      </c>
      <c r="AA35" s="220">
        <f t="shared" si="6"/>
        <v>3.9867040133191747</v>
      </c>
      <c r="AB35" s="220">
        <f t="shared" si="6"/>
        <v>1.7952030191501773</v>
      </c>
      <c r="AC35" s="220">
        <f t="shared" si="6"/>
        <v>-6.3736784473712227E-2</v>
      </c>
      <c r="AD35" s="220">
        <f t="shared" si="6"/>
        <v>-1.4992093831933282</v>
      </c>
      <c r="AE35" s="224">
        <f t="shared" si="6"/>
        <v>-2.7706841368316972</v>
      </c>
    </row>
    <row r="36" spans="5:31" x14ac:dyDescent="0.25">
      <c r="E36" s="225">
        <v>3.0999999999999999E-3</v>
      </c>
      <c r="F36" s="222">
        <f t="shared" si="1"/>
        <v>3.1</v>
      </c>
      <c r="G36" s="221">
        <f t="shared" si="4"/>
        <v>-27.751550000000002</v>
      </c>
      <c r="H36" s="23">
        <f t="shared" si="7"/>
        <v>-17.751550000000002</v>
      </c>
      <c r="I36" s="23">
        <f t="shared" si="7"/>
        <v>-7.7515499999999999</v>
      </c>
      <c r="J36" s="23">
        <f t="shared" si="7"/>
        <v>2.2484500000000001</v>
      </c>
      <c r="K36" s="23">
        <f t="shared" si="7"/>
        <v>12.24845</v>
      </c>
      <c r="L36" s="23">
        <f t="shared" si="7"/>
        <v>22.248449999999998</v>
      </c>
      <c r="M36" s="23">
        <f t="shared" si="7"/>
        <v>32.248449999999998</v>
      </c>
      <c r="N36" s="23">
        <f t="shared" si="7"/>
        <v>42.248449999999998</v>
      </c>
      <c r="O36" s="23">
        <f t="shared" si="7"/>
        <v>52.248449999999998</v>
      </c>
      <c r="P36" s="23">
        <f t="shared" si="7"/>
        <v>62.248449999999998</v>
      </c>
      <c r="Q36" s="23">
        <f t="shared" si="7"/>
        <v>72.248450000000005</v>
      </c>
      <c r="R36" s="23">
        <f t="shared" si="7"/>
        <v>82.248450000000005</v>
      </c>
      <c r="S36" s="23">
        <f t="shared" si="7"/>
        <v>92.248450000000005</v>
      </c>
      <c r="T36" s="23">
        <f t="shared" si="7"/>
        <v>102.24845000000001</v>
      </c>
      <c r="U36" s="222">
        <f t="shared" si="7"/>
        <v>112.24845000000001</v>
      </c>
      <c r="V36" s="223">
        <f t="shared" ref="V36:AE45" si="8">Enthalpie_p_phi_x(hx_druck,V$4,$E36)-$E36*R0()</f>
        <v>33.311458519610987</v>
      </c>
      <c r="W36" s="220">
        <f t="shared" si="8"/>
        <v>21.375960922101136</v>
      </c>
      <c r="X36" s="220">
        <f t="shared" si="8"/>
        <v>14.865509888533696</v>
      </c>
      <c r="Y36" s="220">
        <f t="shared" si="8"/>
        <v>10.439615779472087</v>
      </c>
      <c r="Z36" s="220">
        <f t="shared" si="8"/>
        <v>7.1111140020686729</v>
      </c>
      <c r="AA36" s="220">
        <f t="shared" si="8"/>
        <v>4.4565259929424013</v>
      </c>
      <c r="AB36" s="220">
        <f t="shared" si="8"/>
        <v>2.2562157358793158</v>
      </c>
      <c r="AC36" s="220">
        <f t="shared" si="8"/>
        <v>0.38200093233650279</v>
      </c>
      <c r="AD36" s="220">
        <f t="shared" si="8"/>
        <v>-1.1032389928411055</v>
      </c>
      <c r="AE36" s="224">
        <f t="shared" si="8"/>
        <v>-2.3786160066471602</v>
      </c>
    </row>
    <row r="37" spans="5:31" x14ac:dyDescent="0.25">
      <c r="E37" s="225">
        <v>3.2000000000000002E-3</v>
      </c>
      <c r="F37" s="222">
        <f t="shared" si="1"/>
        <v>3.2</v>
      </c>
      <c r="G37" s="221">
        <f t="shared" si="4"/>
        <v>-28.0016</v>
      </c>
      <c r="H37" s="23">
        <f t="shared" si="7"/>
        <v>-18.0016</v>
      </c>
      <c r="I37" s="23">
        <f t="shared" si="7"/>
        <v>-8.0015999999999998</v>
      </c>
      <c r="J37" s="23">
        <f t="shared" si="7"/>
        <v>1.9984000000000002</v>
      </c>
      <c r="K37" s="23">
        <f t="shared" si="7"/>
        <v>11.9984</v>
      </c>
      <c r="L37" s="23">
        <f t="shared" si="7"/>
        <v>21.9984</v>
      </c>
      <c r="M37" s="23">
        <f t="shared" si="7"/>
        <v>31.9984</v>
      </c>
      <c r="N37" s="23">
        <f t="shared" si="7"/>
        <v>41.998400000000004</v>
      </c>
      <c r="O37" s="23">
        <f t="shared" si="7"/>
        <v>51.998400000000004</v>
      </c>
      <c r="P37" s="23">
        <f t="shared" si="7"/>
        <v>61.998400000000004</v>
      </c>
      <c r="Q37" s="23">
        <f t="shared" si="7"/>
        <v>71.998400000000004</v>
      </c>
      <c r="R37" s="23">
        <f t="shared" si="7"/>
        <v>81.998400000000004</v>
      </c>
      <c r="S37" s="23">
        <f t="shared" si="7"/>
        <v>91.998400000000004</v>
      </c>
      <c r="T37" s="23">
        <f t="shared" si="7"/>
        <v>101.9984</v>
      </c>
      <c r="U37" s="222">
        <f t="shared" si="7"/>
        <v>111.9984</v>
      </c>
      <c r="V37" s="223">
        <f t="shared" si="8"/>
        <v>33.887731460176937</v>
      </c>
      <c r="W37" s="220">
        <f t="shared" si="8"/>
        <v>21.901246294213013</v>
      </c>
      <c r="X37" s="220">
        <f t="shared" si="8"/>
        <v>15.363903825112754</v>
      </c>
      <c r="Y37" s="220">
        <f t="shared" si="8"/>
        <v>10.920099586954947</v>
      </c>
      <c r="Z37" s="220">
        <f t="shared" si="8"/>
        <v>7.5783262955017854</v>
      </c>
      <c r="AA37" s="220">
        <f t="shared" si="8"/>
        <v>4.9132755508210568</v>
      </c>
      <c r="AB37" s="220">
        <f t="shared" si="8"/>
        <v>2.7043749041526812</v>
      </c>
      <c r="AC37" s="220">
        <f t="shared" si="8"/>
        <v>0.8229013646029042</v>
      </c>
      <c r="AD37" s="220">
        <f t="shared" si="8"/>
        <v>-0.71867481650777254</v>
      </c>
      <c r="AE37" s="224">
        <f t="shared" si="8"/>
        <v>-1.9978535976811607</v>
      </c>
    </row>
    <row r="38" spans="5:31" x14ac:dyDescent="0.25">
      <c r="E38" s="225">
        <v>3.3E-3</v>
      </c>
      <c r="F38" s="222">
        <f t="shared" si="1"/>
        <v>3.3</v>
      </c>
      <c r="G38" s="221">
        <f t="shared" si="4"/>
        <v>-28.251649999999998</v>
      </c>
      <c r="H38" s="23">
        <f t="shared" si="7"/>
        <v>-18.251649999999998</v>
      </c>
      <c r="I38" s="23">
        <f t="shared" si="7"/>
        <v>-8.2516499999999997</v>
      </c>
      <c r="J38" s="23">
        <f t="shared" si="7"/>
        <v>1.7483500000000003</v>
      </c>
      <c r="K38" s="23">
        <f t="shared" si="7"/>
        <v>11.74835</v>
      </c>
      <c r="L38" s="23">
        <f t="shared" si="7"/>
        <v>21.748350000000002</v>
      </c>
      <c r="M38" s="23">
        <f t="shared" si="7"/>
        <v>31.748350000000002</v>
      </c>
      <c r="N38" s="23">
        <f t="shared" si="7"/>
        <v>41.748350000000002</v>
      </c>
      <c r="O38" s="23">
        <f t="shared" si="7"/>
        <v>51.748350000000002</v>
      </c>
      <c r="P38" s="23">
        <f t="shared" si="7"/>
        <v>61.748350000000002</v>
      </c>
      <c r="Q38" s="23">
        <f t="shared" si="7"/>
        <v>71.748350000000002</v>
      </c>
      <c r="R38" s="23">
        <f t="shared" si="7"/>
        <v>81.748350000000002</v>
      </c>
      <c r="S38" s="23">
        <f t="shared" si="7"/>
        <v>91.748350000000002</v>
      </c>
      <c r="T38" s="23">
        <f t="shared" si="7"/>
        <v>101.74835</v>
      </c>
      <c r="U38" s="222">
        <f t="shared" si="7"/>
        <v>111.74835</v>
      </c>
      <c r="V38" s="223">
        <f t="shared" si="8"/>
        <v>34.448855564236553</v>
      </c>
      <c r="W38" s="220">
        <f t="shared" si="8"/>
        <v>22.412587520008721</v>
      </c>
      <c r="X38" s="220">
        <f t="shared" si="8"/>
        <v>15.848993227405712</v>
      </c>
      <c r="Y38" s="220">
        <f t="shared" si="8"/>
        <v>11.387706496197906</v>
      </c>
      <c r="Z38" s="220">
        <f t="shared" si="8"/>
        <v>8.0329794248707085</v>
      </c>
      <c r="AA38" s="220">
        <f t="shared" si="8"/>
        <v>5.3577169478843309</v>
      </c>
      <c r="AB38" s="220">
        <f t="shared" si="8"/>
        <v>3.1404323368863363</v>
      </c>
      <c r="AC38" s="220">
        <f t="shared" si="8"/>
        <v>1.2518747268220878</v>
      </c>
      <c r="AD38" s="220">
        <f t="shared" si="8"/>
        <v>-0.34484125223626894</v>
      </c>
      <c r="AE38" s="224">
        <f t="shared" si="8"/>
        <v>-1.6277271363947721</v>
      </c>
    </row>
    <row r="39" spans="5:31" x14ac:dyDescent="0.25">
      <c r="E39" s="225">
        <v>3.3999999999999998E-3</v>
      </c>
      <c r="F39" s="222">
        <f t="shared" si="1"/>
        <v>3.4</v>
      </c>
      <c r="G39" s="23">
        <f t="shared" si="4"/>
        <v>-28.5017</v>
      </c>
      <c r="H39" s="23">
        <f t="shared" si="7"/>
        <v>-18.5017</v>
      </c>
      <c r="I39" s="23">
        <f t="shared" si="7"/>
        <v>-8.5016999999999996</v>
      </c>
      <c r="J39" s="23">
        <f t="shared" si="7"/>
        <v>1.4983000000000004</v>
      </c>
      <c r="K39" s="23">
        <f t="shared" si="7"/>
        <v>11.4983</v>
      </c>
      <c r="L39" s="23">
        <f t="shared" si="7"/>
        <v>21.4983</v>
      </c>
      <c r="M39" s="23">
        <f t="shared" si="7"/>
        <v>31.4983</v>
      </c>
      <c r="N39" s="23">
        <f t="shared" si="7"/>
        <v>41.4983</v>
      </c>
      <c r="O39" s="23">
        <f t="shared" si="7"/>
        <v>51.4983</v>
      </c>
      <c r="P39" s="23">
        <f t="shared" si="7"/>
        <v>61.4983</v>
      </c>
      <c r="Q39" s="23">
        <f t="shared" si="7"/>
        <v>71.4983</v>
      </c>
      <c r="R39" s="23">
        <f t="shared" si="7"/>
        <v>81.4983</v>
      </c>
      <c r="S39" s="23">
        <f t="shared" si="7"/>
        <v>91.4983</v>
      </c>
      <c r="T39" s="23">
        <f t="shared" si="7"/>
        <v>101.4983</v>
      </c>
      <c r="U39" s="23">
        <f>U$4-$E39*R0()</f>
        <v>111.4983</v>
      </c>
      <c r="V39" s="220">
        <f t="shared" si="8"/>
        <v>34.995684832691893</v>
      </c>
      <c r="W39" s="220">
        <f t="shared" si="8"/>
        <v>22.910772643347915</v>
      </c>
      <c r="X39" s="220">
        <f t="shared" si="8"/>
        <v>16.321531018037689</v>
      </c>
      <c r="Y39" s="220">
        <f t="shared" si="8"/>
        <v>11.843165907400071</v>
      </c>
      <c r="Z39" s="220">
        <f t="shared" si="8"/>
        <v>8.4757852915677461</v>
      </c>
      <c r="AA39" s="220">
        <f t="shared" si="8"/>
        <v>5.7905482486217323</v>
      </c>
      <c r="AB39" s="220">
        <f t="shared" si="8"/>
        <v>3.5650747102460976</v>
      </c>
      <c r="AC39" s="220">
        <f t="shared" si="8"/>
        <v>1.6695980527050853</v>
      </c>
      <c r="AD39" s="220">
        <f t="shared" si="8"/>
        <v>2.1986260545999059E-2</v>
      </c>
      <c r="AE39" s="220">
        <f t="shared" si="8"/>
        <v>-1.2676253383561544</v>
      </c>
    </row>
    <row r="40" spans="5:31" x14ac:dyDescent="0.25">
      <c r="E40" s="225">
        <v>3.5000000000000001E-3</v>
      </c>
      <c r="F40" s="222">
        <f t="shared" si="1"/>
        <v>3.5</v>
      </c>
      <c r="G40" s="23">
        <f t="shared" ref="G40:U63" si="9">G$4-$E40*R0()</f>
        <v>-28.751750000000001</v>
      </c>
      <c r="H40" s="23">
        <f t="shared" si="7"/>
        <v>-18.751750000000001</v>
      </c>
      <c r="I40" s="23">
        <f t="shared" si="7"/>
        <v>-8.7517499999999995</v>
      </c>
      <c r="J40" s="23">
        <f t="shared" si="7"/>
        <v>1.2482500000000005</v>
      </c>
      <c r="K40" s="23">
        <f t="shared" si="7"/>
        <v>11.248250000000001</v>
      </c>
      <c r="L40" s="23">
        <f t="shared" si="7"/>
        <v>21.248249999999999</v>
      </c>
      <c r="M40" s="23">
        <f t="shared" si="7"/>
        <v>31.248249999999999</v>
      </c>
      <c r="N40" s="23">
        <f t="shared" si="7"/>
        <v>41.248249999999999</v>
      </c>
      <c r="O40" s="23">
        <f t="shared" si="7"/>
        <v>51.248249999999999</v>
      </c>
      <c r="P40" s="23">
        <f t="shared" si="7"/>
        <v>61.248249999999999</v>
      </c>
      <c r="Q40" s="23">
        <f t="shared" si="7"/>
        <v>71.248249999999999</v>
      </c>
      <c r="R40" s="23">
        <f t="shared" si="7"/>
        <v>81.248249999999999</v>
      </c>
      <c r="S40" s="23">
        <f t="shared" si="7"/>
        <v>91.248249999999999</v>
      </c>
      <c r="T40" s="23">
        <f t="shared" si="7"/>
        <v>101.24825</v>
      </c>
      <c r="U40" s="23">
        <f t="shared" si="7"/>
        <v>111.24825</v>
      </c>
      <c r="V40" s="220">
        <f t="shared" si="8"/>
        <v>35.529001712072144</v>
      </c>
      <c r="W40" s="220">
        <f t="shared" si="8"/>
        <v>23.396523580014332</v>
      </c>
      <c r="X40" s="220">
        <f t="shared" si="8"/>
        <v>16.782206886076828</v>
      </c>
      <c r="Y40" s="220">
        <f t="shared" si="8"/>
        <v>12.287145927843406</v>
      </c>
      <c r="Z40" s="220">
        <f t="shared" si="8"/>
        <v>8.907395948829782</v>
      </c>
      <c r="AA40" s="220">
        <f t="shared" si="8"/>
        <v>6.2124088124516756</v>
      </c>
      <c r="AB40" s="220">
        <f t="shared" si="8"/>
        <v>3.9789309365742334</v>
      </c>
      <c r="AC40" s="220">
        <f t="shared" si="8"/>
        <v>2.0766914094064735</v>
      </c>
      <c r="AD40" s="220">
        <f t="shared" si="8"/>
        <v>0.42324188658978557</v>
      </c>
      <c r="AE40" s="220">
        <f t="shared" si="8"/>
        <v>-0.91698875045103101</v>
      </c>
    </row>
    <row r="41" spans="5:31" x14ac:dyDescent="0.25">
      <c r="E41" s="225">
        <v>3.5999999999999999E-3</v>
      </c>
      <c r="F41" s="222">
        <f t="shared" si="1"/>
        <v>3.6</v>
      </c>
      <c r="G41" s="23">
        <f t="shared" si="9"/>
        <v>-29.001799999999999</v>
      </c>
      <c r="H41" s="23">
        <f t="shared" si="7"/>
        <v>-19.001799999999999</v>
      </c>
      <c r="I41" s="23">
        <f t="shared" si="7"/>
        <v>-9.0017999999999994</v>
      </c>
      <c r="J41" s="23">
        <f t="shared" si="7"/>
        <v>0.99820000000000064</v>
      </c>
      <c r="K41" s="23">
        <f t="shared" si="7"/>
        <v>10.998200000000001</v>
      </c>
      <c r="L41" s="23">
        <f t="shared" si="7"/>
        <v>20.998200000000001</v>
      </c>
      <c r="M41" s="23">
        <f t="shared" si="7"/>
        <v>30.998200000000001</v>
      </c>
      <c r="N41" s="23">
        <f t="shared" si="7"/>
        <v>40.998199999999997</v>
      </c>
      <c r="O41" s="23">
        <f t="shared" si="7"/>
        <v>50.998199999999997</v>
      </c>
      <c r="P41" s="23">
        <f t="shared" si="7"/>
        <v>60.998199999999997</v>
      </c>
      <c r="Q41" s="23">
        <f t="shared" si="7"/>
        <v>70.998199999999997</v>
      </c>
      <c r="R41" s="23">
        <f t="shared" si="7"/>
        <v>80.998199999999997</v>
      </c>
      <c r="S41" s="23">
        <f t="shared" si="7"/>
        <v>90.998199999999997</v>
      </c>
      <c r="T41" s="23">
        <f t="shared" si="7"/>
        <v>100.9982</v>
      </c>
      <c r="U41" s="23">
        <f t="shared" si="7"/>
        <v>110.9982</v>
      </c>
      <c r="V41" s="220">
        <f t="shared" si="8"/>
        <v>36.049524942966542</v>
      </c>
      <c r="W41" s="220">
        <f t="shared" si="8"/>
        <v>23.870503378717022</v>
      </c>
      <c r="X41" s="220">
        <f t="shared" si="8"/>
        <v>17.231654234297789</v>
      </c>
      <c r="Y41" s="220">
        <f t="shared" si="8"/>
        <v>12.720260108654397</v>
      </c>
      <c r="Z41" s="220">
        <f t="shared" si="8"/>
        <v>9.3284101817036067</v>
      </c>
      <c r="AA41" s="220">
        <f t="shared" si="8"/>
        <v>6.6238857495801327</v>
      </c>
      <c r="AB41" s="220">
        <f t="shared" si="8"/>
        <v>4.3825785180213543</v>
      </c>
      <c r="AC41" s="220">
        <f t="shared" si="8"/>
        <v>2.4737241645426558</v>
      </c>
      <c r="AD41" s="220">
        <f t="shared" si="8"/>
        <v>0.81456485084170183</v>
      </c>
      <c r="AE41" s="220">
        <f t="shared" si="8"/>
        <v>-0.57530401750434734</v>
      </c>
    </row>
    <row r="42" spans="5:31" x14ac:dyDescent="0.25">
      <c r="E42" s="225">
        <v>3.7000000000000002E-3</v>
      </c>
      <c r="F42" s="222">
        <f t="shared" si="1"/>
        <v>3.7</v>
      </c>
      <c r="G42" s="23">
        <f t="shared" si="9"/>
        <v>-29.251850000000001</v>
      </c>
      <c r="H42" s="23">
        <f t="shared" si="7"/>
        <v>-19.251850000000001</v>
      </c>
      <c r="I42" s="23">
        <f t="shared" si="7"/>
        <v>-9.251850000000001</v>
      </c>
      <c r="J42" s="23">
        <f t="shared" si="7"/>
        <v>0.74814999999999898</v>
      </c>
      <c r="K42" s="23">
        <f t="shared" si="7"/>
        <v>10.748149999999999</v>
      </c>
      <c r="L42" s="23">
        <f t="shared" si="7"/>
        <v>20.748149999999999</v>
      </c>
      <c r="M42" s="23">
        <f t="shared" si="7"/>
        <v>30.748149999999999</v>
      </c>
      <c r="N42" s="23">
        <f t="shared" si="7"/>
        <v>40.748149999999995</v>
      </c>
      <c r="O42" s="23">
        <f t="shared" si="7"/>
        <v>50.748149999999995</v>
      </c>
      <c r="P42" s="23">
        <f t="shared" si="7"/>
        <v>60.748149999999995</v>
      </c>
      <c r="Q42" s="23">
        <f t="shared" si="7"/>
        <v>70.748149999999995</v>
      </c>
      <c r="R42" s="23">
        <f t="shared" si="7"/>
        <v>80.748149999999995</v>
      </c>
      <c r="S42" s="23">
        <f t="shared" si="7"/>
        <v>90.748149999999995</v>
      </c>
      <c r="T42" s="23">
        <f t="shared" si="7"/>
        <v>100.74815</v>
      </c>
      <c r="U42" s="23">
        <f t="shared" si="7"/>
        <v>110.74815</v>
      </c>
      <c r="V42" s="220">
        <f t="shared" si="8"/>
        <v>36.557916355504474</v>
      </c>
      <c r="W42" s="220">
        <f t="shared" si="8"/>
        <v>24.333322507154211</v>
      </c>
      <c r="X42" s="220">
        <f t="shared" si="8"/>
        <v>17.670456193213948</v>
      </c>
      <c r="Y42" s="220">
        <f t="shared" si="8"/>
        <v>13.143073276332693</v>
      </c>
      <c r="Z42" s="220">
        <f t="shared" si="8"/>
        <v>9.7393792026417607</v>
      </c>
      <c r="AA42" s="220">
        <f t="shared" si="8"/>
        <v>7.0255195090087632</v>
      </c>
      <c r="AB42" s="220">
        <f t="shared" si="8"/>
        <v>4.7765490459377702</v>
      </c>
      <c r="AC42" s="220">
        <f t="shared" si="8"/>
        <v>2.8612204105035293</v>
      </c>
      <c r="AD42" s="220">
        <f t="shared" si="8"/>
        <v>1.196472761369737</v>
      </c>
      <c r="AE42" s="220">
        <f t="shared" si="8"/>
        <v>-0.24209892310144276</v>
      </c>
    </row>
    <row r="43" spans="5:31" x14ac:dyDescent="0.25">
      <c r="E43" s="225">
        <v>3.8E-3</v>
      </c>
      <c r="F43" s="222">
        <f t="shared" si="1"/>
        <v>3.8</v>
      </c>
      <c r="G43" s="23">
        <f t="shared" si="9"/>
        <v>-29.501899999999999</v>
      </c>
      <c r="H43" s="23">
        <f t="shared" si="7"/>
        <v>-19.501899999999999</v>
      </c>
      <c r="I43" s="23">
        <f t="shared" si="7"/>
        <v>-9.5018999999999991</v>
      </c>
      <c r="J43" s="23">
        <f t="shared" si="7"/>
        <v>0.49810000000000088</v>
      </c>
      <c r="K43" s="23">
        <f t="shared" si="7"/>
        <v>10.498100000000001</v>
      </c>
      <c r="L43" s="23">
        <f t="shared" si="7"/>
        <v>20.498100000000001</v>
      </c>
      <c r="M43" s="23">
        <f t="shared" si="7"/>
        <v>30.498100000000001</v>
      </c>
      <c r="N43" s="23">
        <f t="shared" si="7"/>
        <v>40.498100000000001</v>
      </c>
      <c r="O43" s="23">
        <f t="shared" si="7"/>
        <v>50.498100000000001</v>
      </c>
      <c r="P43" s="23">
        <f t="shared" si="7"/>
        <v>60.498100000000001</v>
      </c>
      <c r="Q43" s="23">
        <f t="shared" si="7"/>
        <v>70.498099999999994</v>
      </c>
      <c r="R43" s="23">
        <f t="shared" si="7"/>
        <v>80.498099999999994</v>
      </c>
      <c r="S43" s="23">
        <f t="shared" si="7"/>
        <v>90.498099999999994</v>
      </c>
      <c r="T43" s="23">
        <f t="shared" si="7"/>
        <v>100.49809999999999</v>
      </c>
      <c r="U43" s="23">
        <f t="shared" si="7"/>
        <v>110.49809999999999</v>
      </c>
      <c r="V43" s="220">
        <f t="shared" si="8"/>
        <v>37.054786777540933</v>
      </c>
      <c r="W43" s="220">
        <f t="shared" si="8"/>
        <v>24.785544316624446</v>
      </c>
      <c r="X43" s="220">
        <f t="shared" si="8"/>
        <v>18.099150848850172</v>
      </c>
      <c r="Y43" s="220">
        <f t="shared" si="8"/>
        <v>13.556106601644643</v>
      </c>
      <c r="Z43" s="220">
        <f t="shared" si="8"/>
        <v>10.140811602066211</v>
      </c>
      <c r="AA43" s="220">
        <f t="shared" si="8"/>
        <v>7.4178087354475473</v>
      </c>
      <c r="AB43" s="220">
        <f t="shared" si="8"/>
        <v>5.1613329806516468</v>
      </c>
      <c r="AC43" s="220">
        <f t="shared" si="8"/>
        <v>3.2396636788811168</v>
      </c>
      <c r="AD43" s="220">
        <f t="shared" si="8"/>
        <v>1.5694431586852122</v>
      </c>
      <c r="AE43" s="220">
        <f t="shared" si="8"/>
        <v>9.4680173603496343E-2</v>
      </c>
    </row>
    <row r="44" spans="5:31" x14ac:dyDescent="0.25">
      <c r="E44" s="225">
        <v>3.8999999999999998E-3</v>
      </c>
      <c r="F44" s="222">
        <f t="shared" si="1"/>
        <v>3.9</v>
      </c>
      <c r="G44" s="23">
        <f t="shared" si="9"/>
        <v>-29.751950000000001</v>
      </c>
      <c r="H44" s="23">
        <f t="shared" si="7"/>
        <v>-19.751950000000001</v>
      </c>
      <c r="I44" s="23">
        <f t="shared" si="7"/>
        <v>-9.751949999999999</v>
      </c>
      <c r="J44" s="23">
        <f t="shared" si="7"/>
        <v>0.24805000000000099</v>
      </c>
      <c r="K44" s="23">
        <f t="shared" si="7"/>
        <v>10.248050000000001</v>
      </c>
      <c r="L44" s="23">
        <f t="shared" si="7"/>
        <v>20.248049999999999</v>
      </c>
      <c r="M44" s="23">
        <f t="shared" si="7"/>
        <v>30.248049999999999</v>
      </c>
      <c r="N44" s="23">
        <f t="shared" si="7"/>
        <v>40.248049999999999</v>
      </c>
      <c r="O44" s="23">
        <f t="shared" si="7"/>
        <v>50.248049999999999</v>
      </c>
      <c r="P44" s="23">
        <f t="shared" si="7"/>
        <v>60.248049999999999</v>
      </c>
      <c r="Q44" s="23">
        <f t="shared" si="7"/>
        <v>70.248050000000006</v>
      </c>
      <c r="R44" s="23">
        <f t="shared" si="7"/>
        <v>80.248050000000006</v>
      </c>
      <c r="S44" s="23">
        <f t="shared" si="7"/>
        <v>90.248050000000006</v>
      </c>
      <c r="T44" s="23">
        <f t="shared" si="7"/>
        <v>100.24805000000001</v>
      </c>
      <c r="U44" s="23">
        <f t="shared" si="7"/>
        <v>110.24805000000001</v>
      </c>
      <c r="V44" s="220">
        <f t="shared" si="8"/>
        <v>37.540701191505242</v>
      </c>
      <c r="W44" s="220">
        <f t="shared" si="8"/>
        <v>25.227689811137104</v>
      </c>
      <c r="X44" s="220">
        <f t="shared" si="8"/>
        <v>18.518235804855998</v>
      </c>
      <c r="Y44" s="220">
        <f t="shared" si="8"/>
        <v>13.959842022886859</v>
      </c>
      <c r="Z44" s="220">
        <f t="shared" si="8"/>
        <v>10.533177668225767</v>
      </c>
      <c r="AA44" s="220">
        <f t="shared" si="8"/>
        <v>7.8012145073361925</v>
      </c>
      <c r="AB44" s="220">
        <f t="shared" si="8"/>
        <v>5.5373838220895504</v>
      </c>
      <c r="AC44" s="220">
        <f t="shared" si="8"/>
        <v>3.60950105398903</v>
      </c>
      <c r="AD44" s="220">
        <f t="shared" si="8"/>
        <v>1.9339175798580079</v>
      </c>
      <c r="AE44" s="220">
        <f t="shared" si="8"/>
        <v>0.45444822023921816</v>
      </c>
    </row>
    <row r="45" spans="5:31" x14ac:dyDescent="0.25">
      <c r="E45" s="225">
        <v>4.0000000000000001E-3</v>
      </c>
      <c r="F45" s="222">
        <f t="shared" si="1"/>
        <v>4</v>
      </c>
      <c r="G45" s="23">
        <f t="shared" si="9"/>
        <v>-30.002000000000002</v>
      </c>
      <c r="H45" s="23">
        <f t="shared" si="7"/>
        <v>-20.002000000000002</v>
      </c>
      <c r="I45" s="23">
        <f t="shared" si="7"/>
        <v>-10.002000000000001</v>
      </c>
      <c r="J45" s="23">
        <f t="shared" si="7"/>
        <v>-2.0000000000006679E-3</v>
      </c>
      <c r="K45" s="23">
        <f t="shared" si="7"/>
        <v>9.9979999999999993</v>
      </c>
      <c r="L45" s="23">
        <f t="shared" si="7"/>
        <v>19.997999999999998</v>
      </c>
      <c r="M45" s="23">
        <f t="shared" si="7"/>
        <v>29.997999999999998</v>
      </c>
      <c r="N45" s="23">
        <f t="shared" si="7"/>
        <v>39.997999999999998</v>
      </c>
      <c r="O45" s="23">
        <f t="shared" si="7"/>
        <v>49.997999999999998</v>
      </c>
      <c r="P45" s="23">
        <f t="shared" si="7"/>
        <v>59.997999999999998</v>
      </c>
      <c r="Q45" s="23">
        <f t="shared" si="7"/>
        <v>69.998000000000005</v>
      </c>
      <c r="R45" s="23">
        <f t="shared" si="7"/>
        <v>79.998000000000005</v>
      </c>
      <c r="S45" s="23">
        <f t="shared" si="7"/>
        <v>89.998000000000005</v>
      </c>
      <c r="T45" s="23">
        <f t="shared" si="7"/>
        <v>99.998000000000005</v>
      </c>
      <c r="U45" s="23">
        <f t="shared" si="7"/>
        <v>109.998</v>
      </c>
      <c r="V45" s="220">
        <f t="shared" si="8"/>
        <v>38.016183252114708</v>
      </c>
      <c r="W45" s="220">
        <f t="shared" si="8"/>
        <v>25.660241824954205</v>
      </c>
      <c r="X45" s="220">
        <f t="shared" si="8"/>
        <v>18.928172178467918</v>
      </c>
      <c r="Y45" s="220">
        <f t="shared" si="8"/>
        <v>14.354726120058617</v>
      </c>
      <c r="Z45" s="220">
        <f t="shared" si="8"/>
        <v>10.916913170672485</v>
      </c>
      <c r="AA45" s="220">
        <f t="shared" si="8"/>
        <v>8.1761640485464167</v>
      </c>
      <c r="AB45" s="220">
        <f t="shared" si="8"/>
        <v>5.905121762367239</v>
      </c>
      <c r="AC45" s="220">
        <f t="shared" si="8"/>
        <v>3.971146775376134</v>
      </c>
      <c r="AD45" s="220">
        <f t="shared" si="8"/>
        <v>2.2903051177043956</v>
      </c>
      <c r="AE45" s="220">
        <f t="shared" si="8"/>
        <v>0.80622141834534489</v>
      </c>
    </row>
    <row r="46" spans="5:31" x14ac:dyDescent="0.25">
      <c r="E46" s="225">
        <v>4.1000000000000003E-3</v>
      </c>
      <c r="F46" s="222">
        <f t="shared" si="1"/>
        <v>4.1000000000000005</v>
      </c>
      <c r="G46" s="23">
        <f t="shared" si="9"/>
        <v>-30.252050000000001</v>
      </c>
      <c r="H46" s="23">
        <f t="shared" si="7"/>
        <v>-20.252050000000001</v>
      </c>
      <c r="I46" s="23">
        <f t="shared" si="7"/>
        <v>-10.252050000000001</v>
      </c>
      <c r="J46" s="23">
        <f t="shared" si="7"/>
        <v>-0.25205000000000055</v>
      </c>
      <c r="K46" s="23">
        <f t="shared" si="7"/>
        <v>9.7479499999999994</v>
      </c>
      <c r="L46" s="23">
        <f t="shared" si="7"/>
        <v>19.747949999999999</v>
      </c>
      <c r="M46" s="23">
        <f t="shared" si="7"/>
        <v>29.747949999999999</v>
      </c>
      <c r="N46" s="23">
        <f t="shared" si="7"/>
        <v>39.747950000000003</v>
      </c>
      <c r="O46" s="23">
        <f t="shared" si="7"/>
        <v>49.747950000000003</v>
      </c>
      <c r="P46" s="23">
        <f t="shared" si="7"/>
        <v>59.747950000000003</v>
      </c>
      <c r="Q46" s="23">
        <f t="shared" si="7"/>
        <v>69.747950000000003</v>
      </c>
      <c r="R46" s="23">
        <f t="shared" si="7"/>
        <v>79.747950000000003</v>
      </c>
      <c r="S46" s="23">
        <f t="shared" si="7"/>
        <v>89.747950000000003</v>
      </c>
      <c r="T46" s="23">
        <f t="shared" si="7"/>
        <v>99.747950000000003</v>
      </c>
      <c r="U46" s="23">
        <f t="shared" si="7"/>
        <v>109.74795</v>
      </c>
      <c r="V46" s="220">
        <f t="shared" ref="V46:AE55" si="10">Enthalpie_p_phi_x(hx_druck,V$4,$E46)-$E46*R0()</f>
        <v>38.481719258035056</v>
      </c>
      <c r="W46" s="220">
        <f t="shared" si="10"/>
        <v>26.083648694775167</v>
      </c>
      <c r="X46" s="220">
        <f t="shared" si="10"/>
        <v>19.329388112858805</v>
      </c>
      <c r="Y46" s="220">
        <f t="shared" si="10"/>
        <v>14.741173520013877</v>
      </c>
      <c r="Z46" s="220">
        <f t="shared" si="10"/>
        <v>11.292422685589063</v>
      </c>
      <c r="AA46" s="220">
        <f t="shared" si="10"/>
        <v>8.5430539905413347</v>
      </c>
      <c r="AB46" s="220">
        <f t="shared" si="10"/>
        <v>6.2649368959270362</v>
      </c>
      <c r="AC46" s="220">
        <f t="shared" si="10"/>
        <v>4.324985403894253</v>
      </c>
      <c r="AD46" s="220">
        <f t="shared" si="10"/>
        <v>2.6389855487272733</v>
      </c>
      <c r="AE46" s="220">
        <f t="shared" si="10"/>
        <v>1.1503753395282672</v>
      </c>
    </row>
    <row r="47" spans="5:31" x14ac:dyDescent="0.25">
      <c r="E47" s="225">
        <v>4.1999999999999997E-3</v>
      </c>
      <c r="F47" s="222">
        <f t="shared" si="1"/>
        <v>4.2</v>
      </c>
      <c r="G47" s="23">
        <f t="shared" si="9"/>
        <v>-30.502099999999999</v>
      </c>
      <c r="H47" s="23">
        <f t="shared" si="9"/>
        <v>-20.502099999999999</v>
      </c>
      <c r="I47" s="23">
        <f t="shared" si="9"/>
        <v>-10.502099999999999</v>
      </c>
      <c r="J47" s="23">
        <f t="shared" si="9"/>
        <v>-0.50209999999999866</v>
      </c>
      <c r="K47" s="23">
        <f t="shared" si="9"/>
        <v>9.4979000000000013</v>
      </c>
      <c r="L47" s="23">
        <f t="shared" si="9"/>
        <v>19.497900000000001</v>
      </c>
      <c r="M47" s="23">
        <f t="shared" si="9"/>
        <v>29.497900000000001</v>
      </c>
      <c r="N47" s="23">
        <f t="shared" si="9"/>
        <v>39.497900000000001</v>
      </c>
      <c r="O47" s="23">
        <f t="shared" si="9"/>
        <v>49.497900000000001</v>
      </c>
      <c r="P47" s="23">
        <f t="shared" si="9"/>
        <v>59.497900000000001</v>
      </c>
      <c r="Q47" s="23">
        <f t="shared" si="9"/>
        <v>69.497900000000001</v>
      </c>
      <c r="R47" s="23">
        <f t="shared" si="9"/>
        <v>79.497900000000001</v>
      </c>
      <c r="S47" s="23">
        <f t="shared" si="9"/>
        <v>89.497900000000001</v>
      </c>
      <c r="T47" s="23">
        <f t="shared" si="9"/>
        <v>99.497900000000001</v>
      </c>
      <c r="U47" s="23">
        <f t="shared" si="9"/>
        <v>109.4979</v>
      </c>
      <c r="V47" s="220">
        <f t="shared" si="10"/>
        <v>38.937761655091137</v>
      </c>
      <c r="W47" s="220">
        <f t="shared" si="10"/>
        <v>26.498327498432502</v>
      </c>
      <c r="X47" s="220">
        <f t="shared" si="10"/>
        <v>19.722281874675211</v>
      </c>
      <c r="Y47" s="220">
        <f t="shared" si="10"/>
        <v>15.119569899334653</v>
      </c>
      <c r="Z47" s="220">
        <f t="shared" si="10"/>
        <v>11.660082528174485</v>
      </c>
      <c r="AA47" s="220">
        <f t="shared" si="10"/>
        <v>8.9022532489840316</v>
      </c>
      <c r="AB47" s="220">
        <f t="shared" si="10"/>
        <v>6.6171920502128572</v>
      </c>
      <c r="AC47" s="220">
        <f t="shared" si="10"/>
        <v>4.6713746134622411</v>
      </c>
      <c r="AD47" s="220">
        <f t="shared" si="10"/>
        <v>2.9803120912169057</v>
      </c>
      <c r="AE47" s="220">
        <f t="shared" si="10"/>
        <v>1.487259286178249</v>
      </c>
    </row>
    <row r="48" spans="5:31" x14ac:dyDescent="0.25">
      <c r="E48" s="225">
        <v>4.3E-3</v>
      </c>
      <c r="F48" s="222">
        <f t="shared" si="1"/>
        <v>4.3</v>
      </c>
      <c r="G48" s="23">
        <f t="shared" si="9"/>
        <v>-30.75215</v>
      </c>
      <c r="H48" s="23">
        <f t="shared" si="9"/>
        <v>-20.75215</v>
      </c>
      <c r="I48" s="23">
        <f t="shared" si="9"/>
        <v>-10.75215</v>
      </c>
      <c r="J48" s="23">
        <f t="shared" si="9"/>
        <v>-0.75215000000000032</v>
      </c>
      <c r="K48" s="23">
        <f t="shared" si="9"/>
        <v>9.2478499999999997</v>
      </c>
      <c r="L48" s="23">
        <f t="shared" si="9"/>
        <v>19.24785</v>
      </c>
      <c r="M48" s="23">
        <f t="shared" si="9"/>
        <v>29.24785</v>
      </c>
      <c r="N48" s="23">
        <f t="shared" si="9"/>
        <v>39.24785</v>
      </c>
      <c r="O48" s="23">
        <f t="shared" si="9"/>
        <v>49.24785</v>
      </c>
      <c r="P48" s="23">
        <f t="shared" si="9"/>
        <v>59.24785</v>
      </c>
      <c r="Q48" s="23">
        <f t="shared" si="9"/>
        <v>69.24785</v>
      </c>
      <c r="R48" s="23">
        <f t="shared" si="9"/>
        <v>79.24785</v>
      </c>
      <c r="S48" s="23">
        <f t="shared" si="9"/>
        <v>89.24785</v>
      </c>
      <c r="T48" s="23">
        <f t="shared" si="9"/>
        <v>99.24785</v>
      </c>
      <c r="U48" s="23">
        <f t="shared" si="9"/>
        <v>109.24785</v>
      </c>
      <c r="V48" s="220">
        <f t="shared" si="10"/>
        <v>39.384732136031595</v>
      </c>
      <c r="W48" s="220">
        <f t="shared" si="10"/>
        <v>26.904666920291248</v>
      </c>
      <c r="X48" s="220">
        <f t="shared" si="10"/>
        <v>20.107224594383364</v>
      </c>
      <c r="Y48" s="220">
        <f t="shared" si="10"/>
        <v>15.490274640819717</v>
      </c>
      <c r="Z48" s="220">
        <f t="shared" si="10"/>
        <v>12.020243346694997</v>
      </c>
      <c r="AA48" s="220">
        <f t="shared" si="10"/>
        <v>9.254105568383487</v>
      </c>
      <c r="AB48" s="220">
        <f t="shared" si="10"/>
        <v>6.9622252896314052</v>
      </c>
      <c r="AC48" s="220">
        <f t="shared" si="10"/>
        <v>5.0106476605636523</v>
      </c>
      <c r="AD48" s="220">
        <f t="shared" si="10"/>
        <v>3.314613844933481</v>
      </c>
      <c r="AE48" s="220">
        <f t="shared" si="10"/>
        <v>1.8171987049341958</v>
      </c>
    </row>
    <row r="49" spans="5:31" x14ac:dyDescent="0.25">
      <c r="E49" s="225">
        <v>4.4000000000000003E-3</v>
      </c>
      <c r="F49" s="222">
        <f t="shared" si="1"/>
        <v>4.4000000000000004</v>
      </c>
      <c r="G49" s="23">
        <f t="shared" si="9"/>
        <v>-31.002200000000002</v>
      </c>
      <c r="H49" s="23">
        <f t="shared" si="9"/>
        <v>-21.002200000000002</v>
      </c>
      <c r="I49" s="23">
        <f t="shared" si="9"/>
        <v>-11.0022</v>
      </c>
      <c r="J49" s="23">
        <f t="shared" si="9"/>
        <v>-1.0022000000000002</v>
      </c>
      <c r="K49" s="23">
        <f t="shared" si="9"/>
        <v>8.9977999999999998</v>
      </c>
      <c r="L49" s="23">
        <f t="shared" si="9"/>
        <v>18.997799999999998</v>
      </c>
      <c r="M49" s="23">
        <f t="shared" si="9"/>
        <v>28.997799999999998</v>
      </c>
      <c r="N49" s="23">
        <f t="shared" si="9"/>
        <v>38.997799999999998</v>
      </c>
      <c r="O49" s="23">
        <f t="shared" si="9"/>
        <v>48.997799999999998</v>
      </c>
      <c r="P49" s="23">
        <f t="shared" si="9"/>
        <v>58.997799999999998</v>
      </c>
      <c r="Q49" s="23">
        <f t="shared" si="9"/>
        <v>68.997799999999998</v>
      </c>
      <c r="R49" s="23">
        <f t="shared" si="9"/>
        <v>78.997799999999998</v>
      </c>
      <c r="S49" s="23">
        <f t="shared" si="9"/>
        <v>88.997799999999998</v>
      </c>
      <c r="T49" s="23">
        <f t="shared" si="9"/>
        <v>98.997799999999998</v>
      </c>
      <c r="U49" s="23">
        <f t="shared" si="9"/>
        <v>108.9978</v>
      </c>
      <c r="V49" s="220">
        <f t="shared" si="10"/>
        <v>39.823024391540507</v>
      </c>
      <c r="W49" s="220">
        <f t="shared" si="10"/>
        <v>27.303029793991811</v>
      </c>
      <c r="X49" s="220">
        <f t="shared" si="10"/>
        <v>20.484562697896884</v>
      </c>
      <c r="Y49" s="220">
        <f t="shared" si="10"/>
        <v>15.853623190607005</v>
      </c>
      <c r="Z49" s="220">
        <f t="shared" si="10"/>
        <v>12.373232424134931</v>
      </c>
      <c r="AA49" s="220">
        <f t="shared" si="10"/>
        <v>9.5989317798542135</v>
      </c>
      <c r="AB49" s="220">
        <f t="shared" si="10"/>
        <v>7.3003521371689235</v>
      </c>
      <c r="AC49" s="220">
        <f t="shared" si="10"/>
        <v>5.3431155752480652</v>
      </c>
      <c r="AD49" s="220">
        <f t="shared" si="10"/>
        <v>3.6421979556231587</v>
      </c>
      <c r="AE49" s="220">
        <f t="shared" si="10"/>
        <v>2.1404973279103885</v>
      </c>
    </row>
    <row r="50" spans="5:31" x14ac:dyDescent="0.25">
      <c r="E50" s="225">
        <v>4.4999999999999997E-3</v>
      </c>
      <c r="F50" s="222">
        <f t="shared" si="1"/>
        <v>4.5</v>
      </c>
      <c r="G50" s="23">
        <f t="shared" si="9"/>
        <v>-31.252249999999997</v>
      </c>
      <c r="H50" s="23">
        <f t="shared" si="9"/>
        <v>-21.252249999999997</v>
      </c>
      <c r="I50" s="23">
        <f t="shared" si="9"/>
        <v>-11.252249999999998</v>
      </c>
      <c r="J50" s="23">
        <f t="shared" si="9"/>
        <v>-1.2522499999999983</v>
      </c>
      <c r="K50" s="23">
        <f t="shared" si="9"/>
        <v>8.7477500000000017</v>
      </c>
      <c r="L50" s="23">
        <f t="shared" si="9"/>
        <v>18.747750000000003</v>
      </c>
      <c r="M50" s="23">
        <f t="shared" si="9"/>
        <v>28.747750000000003</v>
      </c>
      <c r="N50" s="23">
        <f t="shared" si="9"/>
        <v>38.747750000000003</v>
      </c>
      <c r="O50" s="23">
        <f t="shared" si="9"/>
        <v>48.747750000000003</v>
      </c>
      <c r="P50" s="23">
        <f t="shared" si="9"/>
        <v>58.747750000000003</v>
      </c>
      <c r="Q50" s="23">
        <f t="shared" si="9"/>
        <v>68.747749999999996</v>
      </c>
      <c r="R50" s="23">
        <f t="shared" si="9"/>
        <v>78.747749999999996</v>
      </c>
      <c r="S50" s="23">
        <f t="shared" si="9"/>
        <v>88.747749999999996</v>
      </c>
      <c r="T50" s="23">
        <f t="shared" si="9"/>
        <v>98.747749999999996</v>
      </c>
      <c r="U50" s="23">
        <f t="shared" si="9"/>
        <v>108.74775</v>
      </c>
      <c r="V50" s="220">
        <f t="shared" si="10"/>
        <v>40.253006558708798</v>
      </c>
      <c r="W50" s="220">
        <f t="shared" si="10"/>
        <v>27.693755365320307</v>
      </c>
      <c r="X50" s="220">
        <f t="shared" si="10"/>
        <v>20.854620070437285</v>
      </c>
      <c r="Y50" s="220">
        <f t="shared" si="10"/>
        <v>16.209929155650421</v>
      </c>
      <c r="Z50" s="220">
        <f t="shared" si="10"/>
        <v>12.719355726251296</v>
      </c>
      <c r="AA50" s="220">
        <f t="shared" si="10"/>
        <v>9.937031810067646</v>
      </c>
      <c r="AB50" s="220">
        <f t="shared" si="10"/>
        <v>7.631867551143463</v>
      </c>
      <c r="AC50" s="220">
        <f t="shared" si="10"/>
        <v>5.6690691106093798</v>
      </c>
      <c r="AD50" s="220">
        <f t="shared" si="10"/>
        <v>3.9633515409021882</v>
      </c>
      <c r="AE50" s="220">
        <f t="shared" si="10"/>
        <v>2.4574390778340174</v>
      </c>
    </row>
    <row r="51" spans="5:31" x14ac:dyDescent="0.25">
      <c r="E51" s="225">
        <v>4.5999999999999999E-3</v>
      </c>
      <c r="F51" s="222">
        <f t="shared" si="1"/>
        <v>4.5999999999999996</v>
      </c>
      <c r="G51" s="23">
        <f t="shared" si="9"/>
        <v>-31.502299999999998</v>
      </c>
      <c r="H51" s="23">
        <f t="shared" si="9"/>
        <v>-21.502299999999998</v>
      </c>
      <c r="I51" s="23">
        <f t="shared" si="9"/>
        <v>-11.5023</v>
      </c>
      <c r="J51" s="23">
        <f t="shared" si="9"/>
        <v>-1.5023</v>
      </c>
      <c r="K51" s="23">
        <f t="shared" si="9"/>
        <v>8.4977</v>
      </c>
      <c r="L51" s="23">
        <f t="shared" si="9"/>
        <v>18.497700000000002</v>
      </c>
      <c r="M51" s="23">
        <f t="shared" si="9"/>
        <v>28.497700000000002</v>
      </c>
      <c r="N51" s="23">
        <f t="shared" si="9"/>
        <v>38.497700000000002</v>
      </c>
      <c r="O51" s="23">
        <f t="shared" si="9"/>
        <v>48.497700000000002</v>
      </c>
      <c r="P51" s="23">
        <f t="shared" si="9"/>
        <v>58.497700000000002</v>
      </c>
      <c r="Q51" s="23">
        <f t="shared" si="9"/>
        <v>68.497699999999995</v>
      </c>
      <c r="R51" s="23">
        <f t="shared" si="9"/>
        <v>78.497699999999995</v>
      </c>
      <c r="S51" s="23">
        <f t="shared" si="9"/>
        <v>88.497699999999995</v>
      </c>
      <c r="T51" s="23">
        <f t="shared" si="9"/>
        <v>98.497699999999995</v>
      </c>
      <c r="U51" s="23">
        <f t="shared" si="9"/>
        <v>108.49769999999999</v>
      </c>
      <c r="V51" s="220">
        <f t="shared" si="10"/>
        <v>40.675023406171469</v>
      </c>
      <c r="W51" s="220">
        <f t="shared" si="10"/>
        <v>28.07716131149936</v>
      </c>
      <c r="X51" s="220">
        <f t="shared" si="10"/>
        <v>21.217699987363524</v>
      </c>
      <c r="Y51" s="220">
        <f t="shared" si="10"/>
        <v>16.559486175242512</v>
      </c>
      <c r="Z51" s="220">
        <f t="shared" si="10"/>
        <v>13.05889972894491</v>
      </c>
      <c r="AA51" s="220">
        <f t="shared" si="10"/>
        <v>10.268686473691728</v>
      </c>
      <c r="AB51" s="220">
        <f t="shared" si="10"/>
        <v>7.9570476888813158</v>
      </c>
      <c r="AC51" s="220">
        <f t="shared" si="10"/>
        <v>5.9887804820992852</v>
      </c>
      <c r="AD51" s="220">
        <f t="shared" si="10"/>
        <v>4.278343408495024</v>
      </c>
      <c r="AE51" s="220">
        <f t="shared" si="10"/>
        <v>2.7682897677518508</v>
      </c>
    </row>
    <row r="52" spans="5:31" x14ac:dyDescent="0.25">
      <c r="E52" s="225">
        <v>4.7000000000000002E-3</v>
      </c>
      <c r="F52" s="222">
        <f t="shared" si="1"/>
        <v>4.7</v>
      </c>
      <c r="G52" s="23">
        <f t="shared" si="9"/>
        <v>-31.75235</v>
      </c>
      <c r="H52" s="23">
        <f t="shared" si="9"/>
        <v>-21.75235</v>
      </c>
      <c r="I52" s="23">
        <f t="shared" si="9"/>
        <v>-11.75235</v>
      </c>
      <c r="J52" s="23">
        <f t="shared" si="9"/>
        <v>-1.7523499999999999</v>
      </c>
      <c r="K52" s="23">
        <f t="shared" si="9"/>
        <v>8.2476500000000001</v>
      </c>
      <c r="L52" s="23">
        <f t="shared" si="9"/>
        <v>18.24765</v>
      </c>
      <c r="M52" s="23">
        <f t="shared" si="9"/>
        <v>28.24765</v>
      </c>
      <c r="N52" s="23">
        <f t="shared" si="9"/>
        <v>38.24765</v>
      </c>
      <c r="O52" s="23">
        <f t="shared" si="9"/>
        <v>48.24765</v>
      </c>
      <c r="P52" s="23">
        <f t="shared" si="9"/>
        <v>58.24765</v>
      </c>
      <c r="Q52" s="23">
        <f t="shared" si="9"/>
        <v>68.247649999999993</v>
      </c>
      <c r="R52" s="23">
        <f t="shared" si="9"/>
        <v>78.247649999999993</v>
      </c>
      <c r="S52" s="23">
        <f t="shared" si="9"/>
        <v>88.247649999999993</v>
      </c>
      <c r="T52" s="23">
        <f t="shared" si="9"/>
        <v>98.247649999999993</v>
      </c>
      <c r="U52" s="23">
        <f t="shared" si="9"/>
        <v>108.24764999999999</v>
      </c>
      <c r="V52" s="220">
        <f t="shared" si="10"/>
        <v>41.089398289300064</v>
      </c>
      <c r="W52" s="220">
        <f t="shared" si="10"/>
        <v>28.453545547805071</v>
      </c>
      <c r="X52" s="220">
        <f t="shared" si="10"/>
        <v>21.57408684154904</v>
      </c>
      <c r="Y52" s="220">
        <f t="shared" si="10"/>
        <v>16.902569595270325</v>
      </c>
      <c r="Z52" s="220">
        <f t="shared" si="10"/>
        <v>13.392133052971872</v>
      </c>
      <c r="AA52" s="220">
        <f t="shared" si="10"/>
        <v>10.594159076816933</v>
      </c>
      <c r="AB52" s="220">
        <f t="shared" si="10"/>
        <v>8.2761514843830071</v>
      </c>
      <c r="AC52" s="220">
        <f t="shared" si="10"/>
        <v>6.3025049233745278</v>
      </c>
      <c r="AD52" s="220">
        <f t="shared" si="10"/>
        <v>4.5874255932075592</v>
      </c>
      <c r="AE52" s="220">
        <f t="shared" si="10"/>
        <v>3.0732986214080054</v>
      </c>
    </row>
    <row r="53" spans="5:31" x14ac:dyDescent="0.25">
      <c r="E53" s="225">
        <v>4.7999999999999996E-3</v>
      </c>
      <c r="F53" s="222">
        <f t="shared" si="1"/>
        <v>4.8</v>
      </c>
      <c r="G53" s="23">
        <f t="shared" si="9"/>
        <v>-32.002400000000002</v>
      </c>
      <c r="H53" s="23">
        <f t="shared" si="9"/>
        <v>-22.002400000000002</v>
      </c>
      <c r="I53" s="23">
        <f t="shared" si="9"/>
        <v>-12.0024</v>
      </c>
      <c r="J53" s="23">
        <f t="shared" si="9"/>
        <v>-2.0023999999999997</v>
      </c>
      <c r="K53" s="23">
        <f t="shared" si="9"/>
        <v>7.9976000000000003</v>
      </c>
      <c r="L53" s="23">
        <f t="shared" si="9"/>
        <v>17.997599999999998</v>
      </c>
      <c r="M53" s="23">
        <f t="shared" si="9"/>
        <v>27.997599999999998</v>
      </c>
      <c r="N53" s="23">
        <f t="shared" si="9"/>
        <v>37.997599999999998</v>
      </c>
      <c r="O53" s="23">
        <f t="shared" si="9"/>
        <v>47.997599999999998</v>
      </c>
      <c r="P53" s="23">
        <f t="shared" si="9"/>
        <v>57.997599999999998</v>
      </c>
      <c r="Q53" s="23">
        <f t="shared" si="9"/>
        <v>67.997600000000006</v>
      </c>
      <c r="R53" s="23">
        <f t="shared" si="9"/>
        <v>77.997600000000006</v>
      </c>
      <c r="S53" s="23">
        <f t="shared" si="9"/>
        <v>87.997600000000006</v>
      </c>
      <c r="T53" s="23">
        <f t="shared" si="9"/>
        <v>97.997600000000006</v>
      </c>
      <c r="U53" s="23">
        <f t="shared" si="9"/>
        <v>107.99760000000001</v>
      </c>
      <c r="V53" s="220">
        <f t="shared" si="10"/>
        <v>41.496434903990462</v>
      </c>
      <c r="W53" s="220">
        <f t="shared" si="10"/>
        <v>28.823187847924999</v>
      </c>
      <c r="X53" s="220">
        <f t="shared" si="10"/>
        <v>21.92404769258529</v>
      </c>
      <c r="Y53" s="220">
        <f t="shared" si="10"/>
        <v>17.239437969721472</v>
      </c>
      <c r="Z53" s="220">
        <f t="shared" si="10"/>
        <v>13.719307929944252</v>
      </c>
      <c r="AA53" s="220">
        <f t="shared" si="10"/>
        <v>10.913696854868133</v>
      </c>
      <c r="AB53" s="220">
        <f t="shared" si="10"/>
        <v>8.5894220631078273</v>
      </c>
      <c r="AC53" s="220">
        <f t="shared" si="10"/>
        <v>6.6104820814931582</v>
      </c>
      <c r="AD53" s="220">
        <f t="shared" si="10"/>
        <v>4.8908347351790891</v>
      </c>
      <c r="AE53" s="220">
        <f t="shared" si="10"/>
        <v>3.3726996365974689</v>
      </c>
    </row>
    <row r="54" spans="5:31" x14ac:dyDescent="0.25">
      <c r="E54" s="225">
        <v>4.8999999999999998E-3</v>
      </c>
      <c r="F54" s="222">
        <f t="shared" si="1"/>
        <v>4.8999999999999995</v>
      </c>
      <c r="G54" s="23">
        <f t="shared" si="9"/>
        <v>-32.252449999999996</v>
      </c>
      <c r="H54" s="23">
        <f t="shared" si="9"/>
        <v>-22.25245</v>
      </c>
      <c r="I54" s="23">
        <f t="shared" si="9"/>
        <v>-12.25245</v>
      </c>
      <c r="J54" s="23">
        <f t="shared" si="9"/>
        <v>-2.2524499999999996</v>
      </c>
      <c r="K54" s="23">
        <f t="shared" si="9"/>
        <v>7.7475500000000004</v>
      </c>
      <c r="L54" s="23">
        <f t="shared" si="9"/>
        <v>17.74755</v>
      </c>
      <c r="M54" s="23">
        <f t="shared" si="9"/>
        <v>27.74755</v>
      </c>
      <c r="N54" s="23">
        <f t="shared" si="9"/>
        <v>37.747550000000004</v>
      </c>
      <c r="O54" s="23">
        <f t="shared" si="9"/>
        <v>47.747550000000004</v>
      </c>
      <c r="P54" s="23">
        <f t="shared" si="9"/>
        <v>57.747550000000004</v>
      </c>
      <c r="Q54" s="23">
        <f t="shared" si="9"/>
        <v>67.747550000000004</v>
      </c>
      <c r="R54" s="23">
        <f t="shared" si="9"/>
        <v>77.747550000000004</v>
      </c>
      <c r="S54" s="23">
        <f t="shared" si="9"/>
        <v>87.747550000000004</v>
      </c>
      <c r="T54" s="23">
        <f t="shared" si="9"/>
        <v>97.747550000000004</v>
      </c>
      <c r="U54" s="23">
        <f t="shared" si="9"/>
        <v>107.74755</v>
      </c>
      <c r="V54" s="220">
        <f t="shared" si="10"/>
        <v>41.896418863527572</v>
      </c>
      <c r="W54" s="220">
        <f t="shared" si="10"/>
        <v>29.186351300712982</v>
      </c>
      <c r="X54" s="220">
        <f t="shared" si="10"/>
        <v>22.267833659492407</v>
      </c>
      <c r="Y54" s="220">
        <f t="shared" si="10"/>
        <v>17.570334410466341</v>
      </c>
      <c r="Z54" s="220">
        <f t="shared" si="10"/>
        <v>14.040661520158583</v>
      </c>
      <c r="AA54" s="220">
        <f t="shared" si="10"/>
        <v>11.22753226515481</v>
      </c>
      <c r="AB54" s="220">
        <f t="shared" si="10"/>
        <v>8.8970880137114783</v>
      </c>
      <c r="AC54" s="220">
        <f t="shared" si="10"/>
        <v>6.9129372710248589</v>
      </c>
      <c r="AD54" s="220">
        <f t="shared" si="10"/>
        <v>5.188793318745013</v>
      </c>
      <c r="AE54" s="220">
        <f t="shared" si="10"/>
        <v>3.6667128106225402</v>
      </c>
    </row>
    <row r="55" spans="5:31" x14ac:dyDescent="0.25">
      <c r="E55" s="225">
        <v>5.0000000000000001E-3</v>
      </c>
      <c r="F55" s="222">
        <f t="shared" si="1"/>
        <v>5</v>
      </c>
      <c r="G55" s="23">
        <f t="shared" si="9"/>
        <v>-32.502499999999998</v>
      </c>
      <c r="H55" s="23">
        <f t="shared" si="9"/>
        <v>-22.502499999999998</v>
      </c>
      <c r="I55" s="23">
        <f t="shared" si="9"/>
        <v>-12.5025</v>
      </c>
      <c r="J55" s="23">
        <f t="shared" si="9"/>
        <v>-2.5024999999999995</v>
      </c>
      <c r="K55" s="23">
        <f t="shared" si="9"/>
        <v>7.4975000000000005</v>
      </c>
      <c r="L55" s="23">
        <f t="shared" si="9"/>
        <v>17.497500000000002</v>
      </c>
      <c r="M55" s="23">
        <f t="shared" si="9"/>
        <v>27.497500000000002</v>
      </c>
      <c r="N55" s="23">
        <f t="shared" si="9"/>
        <v>37.497500000000002</v>
      </c>
      <c r="O55" s="23">
        <f t="shared" si="9"/>
        <v>47.497500000000002</v>
      </c>
      <c r="P55" s="23">
        <f t="shared" si="9"/>
        <v>57.497500000000002</v>
      </c>
      <c r="Q55" s="23">
        <f t="shared" si="9"/>
        <v>67.497500000000002</v>
      </c>
      <c r="R55" s="23">
        <f t="shared" si="9"/>
        <v>77.497500000000002</v>
      </c>
      <c r="S55" s="23">
        <f t="shared" si="9"/>
        <v>87.497500000000002</v>
      </c>
      <c r="T55" s="23">
        <f t="shared" si="9"/>
        <v>97.497500000000002</v>
      </c>
      <c r="U55" s="23">
        <f t="shared" si="9"/>
        <v>107.4975</v>
      </c>
      <c r="V55" s="220">
        <f t="shared" si="10"/>
        <v>42.289619119596637</v>
      </c>
      <c r="W55" s="220">
        <f t="shared" si="10"/>
        <v>29.543283622837819</v>
      </c>
      <c r="X55" s="220">
        <f t="shared" si="10"/>
        <v>22.605681175593666</v>
      </c>
      <c r="Y55" s="220">
        <f t="shared" si="10"/>
        <v>17.895487803409459</v>
      </c>
      <c r="Z55" s="220">
        <f t="shared" si="10"/>
        <v>14.356417099924856</v>
      </c>
      <c r="AA55" s="220">
        <f t="shared" si="10"/>
        <v>11.535884151399978</v>
      </c>
      <c r="AB55" s="220">
        <f t="shared" si="10"/>
        <v>9.199364533803303</v>
      </c>
      <c r="AC55" s="220">
        <f t="shared" si="10"/>
        <v>7.2100826039097772</v>
      </c>
      <c r="AD55" s="220">
        <f t="shared" si="10"/>
        <v>5.481510788543785</v>
      </c>
      <c r="AE55" s="220">
        <f t="shared" si="10"/>
        <v>3.9555452443085297</v>
      </c>
    </row>
    <row r="56" spans="5:31" x14ac:dyDescent="0.25">
      <c r="E56" s="225">
        <v>5.1000000000000004E-3</v>
      </c>
      <c r="F56" s="222">
        <f t="shared" si="1"/>
        <v>5.1000000000000005</v>
      </c>
      <c r="G56" s="23">
        <f t="shared" si="9"/>
        <v>-32.752549999999999</v>
      </c>
      <c r="H56" s="23">
        <f t="shared" si="9"/>
        <v>-22.752549999999999</v>
      </c>
      <c r="I56" s="23">
        <f t="shared" si="9"/>
        <v>-12.752550000000001</v>
      </c>
      <c r="J56" s="23">
        <f t="shared" si="9"/>
        <v>-2.7525500000000012</v>
      </c>
      <c r="K56" s="23">
        <f t="shared" si="9"/>
        <v>7.2474499999999988</v>
      </c>
      <c r="L56" s="23">
        <f t="shared" si="9"/>
        <v>17.247450000000001</v>
      </c>
      <c r="M56" s="23">
        <f t="shared" si="9"/>
        <v>27.247450000000001</v>
      </c>
      <c r="N56" s="23">
        <f t="shared" si="9"/>
        <v>37.247450000000001</v>
      </c>
      <c r="O56" s="23">
        <f t="shared" si="9"/>
        <v>47.247450000000001</v>
      </c>
      <c r="P56" s="23">
        <f t="shared" si="9"/>
        <v>57.247450000000001</v>
      </c>
      <c r="Q56" s="23">
        <f t="shared" si="9"/>
        <v>67.247450000000001</v>
      </c>
      <c r="R56" s="23">
        <f t="shared" si="9"/>
        <v>77.247450000000001</v>
      </c>
      <c r="S56" s="23">
        <f t="shared" si="9"/>
        <v>87.247450000000001</v>
      </c>
      <c r="T56" s="23">
        <f t="shared" si="9"/>
        <v>97.247450000000001</v>
      </c>
      <c r="U56" s="23">
        <f t="shared" si="9"/>
        <v>107.24745</v>
      </c>
      <c r="V56" s="220">
        <f t="shared" ref="V56:AE65" si="11">Enthalpie_p_phi_x(hx_druck,V$4,$E56)-$E56*R0()</f>
        <v>42.67628924563337</v>
      </c>
      <c r="W56" s="220">
        <f t="shared" si="11"/>
        <v>29.894218344158517</v>
      </c>
      <c r="X56" s="220">
        <f t="shared" si="11"/>
        <v>22.937813121660469</v>
      </c>
      <c r="Y56" s="220">
        <f t="shared" si="11"/>
        <v>18.215113906629142</v>
      </c>
      <c r="Z56" s="220">
        <f t="shared" si="11"/>
        <v>14.666785133652494</v>
      </c>
      <c r="AA56" s="220">
        <f t="shared" si="11"/>
        <v>11.838958795216731</v>
      </c>
      <c r="AB56" s="220">
        <f t="shared" si="11"/>
        <v>9.4964544644552742</v>
      </c>
      <c r="AC56" s="220">
        <f t="shared" si="11"/>
        <v>7.5021180095974547</v>
      </c>
      <c r="AD56" s="220">
        <f t="shared" si="11"/>
        <v>5.7691845572262732</v>
      </c>
      <c r="AE56" s="220">
        <f t="shared" si="11"/>
        <v>4.239392138785183</v>
      </c>
    </row>
    <row r="57" spans="5:31" x14ac:dyDescent="0.25">
      <c r="E57" s="225">
        <v>5.1999999999999998E-3</v>
      </c>
      <c r="F57" s="222">
        <f t="shared" si="1"/>
        <v>5.2</v>
      </c>
      <c r="G57" s="23">
        <f t="shared" si="9"/>
        <v>-33.002600000000001</v>
      </c>
      <c r="H57" s="23">
        <f t="shared" si="9"/>
        <v>-23.002600000000001</v>
      </c>
      <c r="I57" s="23">
        <f t="shared" si="9"/>
        <v>-13.002599999999999</v>
      </c>
      <c r="J57" s="23">
        <f t="shared" si="9"/>
        <v>-3.0025999999999993</v>
      </c>
      <c r="K57" s="23">
        <f t="shared" si="9"/>
        <v>6.9974000000000007</v>
      </c>
      <c r="L57" s="23">
        <f t="shared" si="9"/>
        <v>16.997399999999999</v>
      </c>
      <c r="M57" s="23">
        <f t="shared" si="9"/>
        <v>26.997399999999999</v>
      </c>
      <c r="N57" s="23">
        <f t="shared" si="9"/>
        <v>36.997399999999999</v>
      </c>
      <c r="O57" s="23">
        <f t="shared" si="9"/>
        <v>46.997399999999999</v>
      </c>
      <c r="P57" s="23">
        <f t="shared" si="9"/>
        <v>56.997399999999999</v>
      </c>
      <c r="Q57" s="23">
        <f t="shared" si="9"/>
        <v>66.997399999999999</v>
      </c>
      <c r="R57" s="23">
        <f t="shared" si="9"/>
        <v>76.997399999999999</v>
      </c>
      <c r="S57" s="23">
        <f t="shared" si="9"/>
        <v>86.997399999999999</v>
      </c>
      <c r="T57" s="23">
        <f t="shared" si="9"/>
        <v>96.997399999999999</v>
      </c>
      <c r="U57" s="23">
        <f t="shared" si="9"/>
        <v>106.9974</v>
      </c>
      <c r="V57" s="220">
        <f t="shared" si="11"/>
        <v>43.056668598269063</v>
      </c>
      <c r="W57" s="220">
        <f t="shared" si="11"/>
        <v>30.239375880403436</v>
      </c>
      <c r="X57" s="220">
        <f t="shared" si="11"/>
        <v>23.264439851275128</v>
      </c>
      <c r="Y57" s="220">
        <f t="shared" si="11"/>
        <v>18.529416344030665</v>
      </c>
      <c r="Z57" s="220">
        <f t="shared" si="11"/>
        <v>14.971964243903434</v>
      </c>
      <c r="AA57" s="220">
        <f t="shared" si="11"/>
        <v>12.136950867493651</v>
      </c>
      <c r="AB57" s="220">
        <f t="shared" si="11"/>
        <v>9.7885492262189064</v>
      </c>
      <c r="AC57" s="220">
        <f t="shared" si="11"/>
        <v>7.7892321580482413</v>
      </c>
      <c r="AD57" s="220">
        <f t="shared" si="11"/>
        <v>6.0520009171994307</v>
      </c>
      <c r="AE57" s="220">
        <f t="shared" si="11"/>
        <v>4.5184376973323932</v>
      </c>
    </row>
    <row r="58" spans="5:31" x14ac:dyDescent="0.25">
      <c r="E58" s="225">
        <v>5.3E-3</v>
      </c>
      <c r="F58" s="222">
        <f t="shared" si="1"/>
        <v>5.3</v>
      </c>
      <c r="G58" s="23">
        <f t="shared" si="9"/>
        <v>-33.252650000000003</v>
      </c>
      <c r="H58" s="23">
        <f t="shared" si="9"/>
        <v>-23.252650000000003</v>
      </c>
      <c r="I58" s="23">
        <f t="shared" si="9"/>
        <v>-13.252650000000001</v>
      </c>
      <c r="J58" s="23">
        <f t="shared" si="9"/>
        <v>-3.2526500000000009</v>
      </c>
      <c r="K58" s="23">
        <f t="shared" si="9"/>
        <v>6.7473499999999991</v>
      </c>
      <c r="L58" s="23">
        <f t="shared" si="9"/>
        <v>16.747349999999997</v>
      </c>
      <c r="M58" s="23">
        <f t="shared" si="9"/>
        <v>26.747349999999997</v>
      </c>
      <c r="N58" s="23">
        <f t="shared" si="9"/>
        <v>36.747349999999997</v>
      </c>
      <c r="O58" s="23">
        <f t="shared" si="9"/>
        <v>46.747349999999997</v>
      </c>
      <c r="P58" s="23">
        <f t="shared" si="9"/>
        <v>56.747349999999997</v>
      </c>
      <c r="Q58" s="23">
        <f t="shared" si="9"/>
        <v>66.747349999999997</v>
      </c>
      <c r="R58" s="23">
        <f t="shared" si="9"/>
        <v>76.747349999999997</v>
      </c>
      <c r="S58" s="23">
        <f t="shared" si="9"/>
        <v>86.747349999999997</v>
      </c>
      <c r="T58" s="23">
        <f t="shared" si="9"/>
        <v>96.747349999999997</v>
      </c>
      <c r="U58" s="23">
        <f t="shared" si="9"/>
        <v>106.74735</v>
      </c>
      <c r="V58" s="220">
        <f t="shared" si="11"/>
        <v>43.43098337055671</v>
      </c>
      <c r="W58" s="220">
        <f t="shared" si="11"/>
        <v>30.578964505814213</v>
      </c>
      <c r="X58" s="220">
        <f t="shared" si="11"/>
        <v>23.585760120525464</v>
      </c>
      <c r="Y58" s="220">
        <f t="shared" si="11"/>
        <v>18.83858750625911</v>
      </c>
      <c r="Z58" s="220">
        <f t="shared" si="11"/>
        <v>15.272142090885376</v>
      </c>
      <c r="AA58" s="220">
        <f t="shared" si="11"/>
        <v>12.430044290945526</v>
      </c>
      <c r="AB58" s="220">
        <f t="shared" si="11"/>
        <v>10.075829667728096</v>
      </c>
      <c r="AC58" s="220">
        <f t="shared" si="11"/>
        <v>8.0716032965239979</v>
      </c>
      <c r="AD58" s="220">
        <f t="shared" si="11"/>
        <v>6.3301358672003278</v>
      </c>
      <c r="AE58" s="220">
        <f t="shared" si="11"/>
        <v>4.7928559429720767</v>
      </c>
    </row>
    <row r="59" spans="5:31" x14ac:dyDescent="0.25">
      <c r="E59" s="225">
        <v>5.4000000000000003E-3</v>
      </c>
      <c r="F59" s="222">
        <f t="shared" si="1"/>
        <v>5.4</v>
      </c>
      <c r="G59" s="23">
        <f t="shared" si="9"/>
        <v>-33.502700000000004</v>
      </c>
      <c r="H59" s="23">
        <f t="shared" si="9"/>
        <v>-23.502700000000001</v>
      </c>
      <c r="I59" s="23">
        <f t="shared" si="9"/>
        <v>-13.502700000000001</v>
      </c>
      <c r="J59" s="23">
        <f t="shared" si="9"/>
        <v>-3.5027000000000008</v>
      </c>
      <c r="K59" s="23">
        <f t="shared" si="9"/>
        <v>6.4972999999999992</v>
      </c>
      <c r="L59" s="23">
        <f t="shared" si="9"/>
        <v>16.497299999999999</v>
      </c>
      <c r="M59" s="23">
        <f t="shared" si="9"/>
        <v>26.497299999999999</v>
      </c>
      <c r="N59" s="23">
        <f t="shared" si="9"/>
        <v>36.497299999999996</v>
      </c>
      <c r="O59" s="23">
        <f t="shared" si="9"/>
        <v>46.497299999999996</v>
      </c>
      <c r="P59" s="23">
        <f t="shared" si="9"/>
        <v>56.497299999999996</v>
      </c>
      <c r="Q59" s="23">
        <f t="shared" si="9"/>
        <v>66.497299999999996</v>
      </c>
      <c r="R59" s="23">
        <f t="shared" si="9"/>
        <v>76.497299999999996</v>
      </c>
      <c r="S59" s="23">
        <f t="shared" si="9"/>
        <v>86.497299999999996</v>
      </c>
      <c r="T59" s="23">
        <f t="shared" si="9"/>
        <v>96.497299999999996</v>
      </c>
      <c r="U59" s="23">
        <f t="shared" si="9"/>
        <v>106.4973</v>
      </c>
      <c r="V59" s="220">
        <f t="shared" si="11"/>
        <v>43.79944754890019</v>
      </c>
      <c r="W59" s="220">
        <f t="shared" si="11"/>
        <v>30.913181236782936</v>
      </c>
      <c r="X59" s="220">
        <f t="shared" si="11"/>
        <v>23.901961932581781</v>
      </c>
      <c r="Y59" s="220">
        <f t="shared" si="11"/>
        <v>19.142809369102931</v>
      </c>
      <c r="Z59" s="220">
        <f t="shared" si="11"/>
        <v>15.567496171377197</v>
      </c>
      <c r="AA59" s="220">
        <f t="shared" si="11"/>
        <v>12.718413023632589</v>
      </c>
      <c r="AB59" s="220">
        <f t="shared" si="11"/>
        <v>10.358466836535595</v>
      </c>
      <c r="AC59" s="220">
        <f t="shared" si="11"/>
        <v>8.349400009684171</v>
      </c>
      <c r="AD59" s="220">
        <f t="shared" si="11"/>
        <v>6.6037558631026734</v>
      </c>
      <c r="AE59" s="220">
        <f t="shared" si="11"/>
        <v>5.0628114611076001</v>
      </c>
    </row>
    <row r="60" spans="5:31" x14ac:dyDescent="0.25">
      <c r="E60" s="225">
        <v>5.4999999999999997E-3</v>
      </c>
      <c r="F60" s="222">
        <f t="shared" si="1"/>
        <v>5.5</v>
      </c>
      <c r="G60" s="23">
        <f t="shared" si="9"/>
        <v>-33.752749999999999</v>
      </c>
      <c r="H60" s="23">
        <f t="shared" si="9"/>
        <v>-23.752749999999999</v>
      </c>
      <c r="I60" s="23">
        <f t="shared" si="9"/>
        <v>-13.752749999999999</v>
      </c>
      <c r="J60" s="23">
        <f t="shared" si="9"/>
        <v>-3.7527499999999989</v>
      </c>
      <c r="K60" s="23">
        <f t="shared" si="9"/>
        <v>6.2472500000000011</v>
      </c>
      <c r="L60" s="23">
        <f t="shared" si="9"/>
        <v>16.247250000000001</v>
      </c>
      <c r="M60" s="23">
        <f t="shared" si="9"/>
        <v>26.247250000000001</v>
      </c>
      <c r="N60" s="23">
        <f t="shared" si="9"/>
        <v>36.247250000000001</v>
      </c>
      <c r="O60" s="23">
        <f t="shared" si="9"/>
        <v>46.247250000000001</v>
      </c>
      <c r="P60" s="23">
        <f t="shared" si="9"/>
        <v>56.247250000000001</v>
      </c>
      <c r="Q60" s="23">
        <f t="shared" si="9"/>
        <v>66.247250000000008</v>
      </c>
      <c r="R60" s="23">
        <f t="shared" si="9"/>
        <v>76.247250000000008</v>
      </c>
      <c r="S60" s="23">
        <f t="shared" si="9"/>
        <v>86.247250000000008</v>
      </c>
      <c r="T60" s="23">
        <f t="shared" si="9"/>
        <v>96.247250000000008</v>
      </c>
      <c r="U60" s="23">
        <f t="shared" si="9"/>
        <v>106.24725000000001</v>
      </c>
      <c r="V60" s="220">
        <f t="shared" si="11"/>
        <v>44.162263784100212</v>
      </c>
      <c r="W60" s="220">
        <f t="shared" si="11"/>
        <v>31.242212636114225</v>
      </c>
      <c r="X60" s="220">
        <f t="shared" si="11"/>
        <v>24.213223306371027</v>
      </c>
      <c r="Y60" s="220">
        <f t="shared" si="11"/>
        <v>19.442254238322398</v>
      </c>
      <c r="Z60" s="220">
        <f t="shared" si="11"/>
        <v>15.858194545812715</v>
      </c>
      <c r="AA60" s="220">
        <f t="shared" si="11"/>
        <v>13.002221772009449</v>
      </c>
      <c r="AB60" s="220">
        <f t="shared" si="11"/>
        <v>10.636622680608497</v>
      </c>
      <c r="AC60" s="220">
        <f t="shared" si="11"/>
        <v>8.6227819112972668</v>
      </c>
      <c r="AD60" s="220">
        <f t="shared" si="11"/>
        <v>6.8730185011662144</v>
      </c>
      <c r="AE60" s="220">
        <f t="shared" si="11"/>
        <v>5.3284600753337443</v>
      </c>
    </row>
    <row r="61" spans="5:31" x14ac:dyDescent="0.25">
      <c r="E61" s="225">
        <v>5.5999999999999999E-3</v>
      </c>
      <c r="F61" s="222">
        <f t="shared" si="1"/>
        <v>5.6</v>
      </c>
      <c r="G61" s="23">
        <f t="shared" si="9"/>
        <v>-34.002800000000001</v>
      </c>
      <c r="H61" s="23">
        <f t="shared" si="9"/>
        <v>-24.002800000000001</v>
      </c>
      <c r="I61" s="23">
        <f t="shared" si="9"/>
        <v>-14.002800000000001</v>
      </c>
      <c r="J61" s="23">
        <f t="shared" si="9"/>
        <v>-4.0028000000000006</v>
      </c>
      <c r="K61" s="23">
        <f t="shared" si="9"/>
        <v>5.9971999999999994</v>
      </c>
      <c r="L61" s="23">
        <f t="shared" si="9"/>
        <v>15.997199999999999</v>
      </c>
      <c r="M61" s="23">
        <f t="shared" si="9"/>
        <v>25.997199999999999</v>
      </c>
      <c r="N61" s="23">
        <f t="shared" si="9"/>
        <v>35.997199999999999</v>
      </c>
      <c r="O61" s="23">
        <f t="shared" si="9"/>
        <v>45.997199999999999</v>
      </c>
      <c r="P61" s="23">
        <f t="shared" si="9"/>
        <v>55.997199999999999</v>
      </c>
      <c r="Q61" s="23">
        <f t="shared" si="9"/>
        <v>65.997199999999992</v>
      </c>
      <c r="R61" s="23">
        <f t="shared" si="9"/>
        <v>75.997199999999992</v>
      </c>
      <c r="S61" s="23">
        <f t="shared" si="9"/>
        <v>85.997199999999992</v>
      </c>
      <c r="T61" s="23">
        <f t="shared" si="9"/>
        <v>95.997199999999992</v>
      </c>
      <c r="U61" s="23">
        <f t="shared" si="9"/>
        <v>105.99719999999999</v>
      </c>
      <c r="V61" s="220">
        <f t="shared" si="11"/>
        <v>44.519624185636523</v>
      </c>
      <c r="W61" s="220">
        <f t="shared" si="11"/>
        <v>31.56623554634708</v>
      </c>
      <c r="X61" s="220">
        <f t="shared" si="11"/>
        <v>24.519712977416923</v>
      </c>
      <c r="Y61" s="220">
        <f t="shared" si="11"/>
        <v>19.737085428726758</v>
      </c>
      <c r="Z61" s="220">
        <f t="shared" si="11"/>
        <v>16.144396501163374</v>
      </c>
      <c r="AA61" s="220">
        <f t="shared" si="11"/>
        <v>13.281626640999647</v>
      </c>
      <c r="AB61" s="220">
        <f t="shared" si="11"/>
        <v>10.910450687859274</v>
      </c>
      <c r="AC61" s="220">
        <f t="shared" si="11"/>
        <v>8.8919002748436498</v>
      </c>
      <c r="AD61" s="220">
        <f t="shared" si="11"/>
        <v>7.1380731409175304</v>
      </c>
      <c r="AE61" s="220">
        <f t="shared" si="11"/>
        <v>5.589949463528832</v>
      </c>
    </row>
    <row r="62" spans="5:31" x14ac:dyDescent="0.25">
      <c r="E62" s="225">
        <v>5.7000000000000002E-3</v>
      </c>
      <c r="F62" s="222">
        <f t="shared" si="1"/>
        <v>5.7</v>
      </c>
      <c r="G62" s="23">
        <f t="shared" si="9"/>
        <v>-34.252850000000002</v>
      </c>
      <c r="H62" s="23">
        <f t="shared" si="9"/>
        <v>-24.252850000000002</v>
      </c>
      <c r="I62" s="23">
        <f t="shared" si="9"/>
        <v>-14.25285</v>
      </c>
      <c r="J62" s="23">
        <f t="shared" si="9"/>
        <v>-4.2528500000000005</v>
      </c>
      <c r="K62" s="23">
        <f t="shared" si="9"/>
        <v>5.7471499999999995</v>
      </c>
      <c r="L62" s="23">
        <f t="shared" si="9"/>
        <v>15.74715</v>
      </c>
      <c r="M62" s="23">
        <f t="shared" si="9"/>
        <v>25.747149999999998</v>
      </c>
      <c r="N62" s="23">
        <f t="shared" si="9"/>
        <v>35.747149999999998</v>
      </c>
      <c r="O62" s="23">
        <f t="shared" si="9"/>
        <v>45.747149999999998</v>
      </c>
      <c r="P62" s="23">
        <f t="shared" si="9"/>
        <v>55.747149999999998</v>
      </c>
      <c r="Q62" s="23">
        <f t="shared" si="9"/>
        <v>65.747150000000005</v>
      </c>
      <c r="R62" s="23">
        <f t="shared" si="9"/>
        <v>75.747150000000005</v>
      </c>
      <c r="S62" s="23">
        <f t="shared" si="9"/>
        <v>85.747150000000005</v>
      </c>
      <c r="T62" s="23">
        <f t="shared" si="9"/>
        <v>95.747150000000005</v>
      </c>
      <c r="U62" s="23">
        <f t="shared" si="9"/>
        <v>105.74715</v>
      </c>
      <c r="V62" s="220">
        <f t="shared" si="11"/>
        <v>44.871711047193216</v>
      </c>
      <c r="W62" s="220">
        <f t="shared" si="11"/>
        <v>31.885417759540864</v>
      </c>
      <c r="X62" s="220">
        <f t="shared" si="11"/>
        <v>24.821591037928918</v>
      </c>
      <c r="Y62" s="220">
        <f t="shared" si="11"/>
        <v>20.027457884367145</v>
      </c>
      <c r="Z62" s="220">
        <f t="shared" si="11"/>
        <v>16.426253156326723</v>
      </c>
      <c r="AA62" s="220">
        <f t="shared" si="11"/>
        <v>13.556775727675555</v>
      </c>
      <c r="AB62" s="220">
        <f t="shared" si="11"/>
        <v>11.180096470187815</v>
      </c>
      <c r="AC62" s="220">
        <f t="shared" si="11"/>
        <v>9.1568986093959754</v>
      </c>
      <c r="AD62" s="220">
        <f t="shared" si="11"/>
        <v>7.3990614739719494</v>
      </c>
      <c r="AE62" s="220">
        <f t="shared" si="11"/>
        <v>5.8474197204713487</v>
      </c>
    </row>
    <row r="63" spans="5:31" x14ac:dyDescent="0.25">
      <c r="E63" s="225">
        <v>5.7999999999999996E-3</v>
      </c>
      <c r="F63" s="222">
        <f t="shared" si="1"/>
        <v>5.8</v>
      </c>
      <c r="G63" s="23">
        <f t="shared" si="9"/>
        <v>-34.502899999999997</v>
      </c>
      <c r="H63" s="23">
        <f t="shared" si="9"/>
        <v>-24.502899999999997</v>
      </c>
      <c r="I63" s="23">
        <f t="shared" si="9"/>
        <v>-14.502899999999999</v>
      </c>
      <c r="J63" s="23">
        <f t="shared" si="9"/>
        <v>-4.5028999999999986</v>
      </c>
      <c r="K63" s="23">
        <f t="shared" si="9"/>
        <v>5.4971000000000014</v>
      </c>
      <c r="L63" s="23">
        <f t="shared" si="9"/>
        <v>15.497100000000001</v>
      </c>
      <c r="M63" s="23">
        <f t="shared" si="9"/>
        <v>25.497100000000003</v>
      </c>
      <c r="N63" s="23">
        <f t="shared" si="9"/>
        <v>35.497100000000003</v>
      </c>
      <c r="O63" s="23">
        <f t="shared" ref="H63:U81" si="12">O$4-$E63*R0()</f>
        <v>45.497100000000003</v>
      </c>
      <c r="P63" s="23">
        <f t="shared" si="12"/>
        <v>55.497100000000003</v>
      </c>
      <c r="Q63" s="23">
        <f t="shared" si="12"/>
        <v>65.497100000000003</v>
      </c>
      <c r="R63" s="23">
        <f t="shared" si="12"/>
        <v>75.497100000000003</v>
      </c>
      <c r="S63" s="23">
        <f t="shared" si="12"/>
        <v>85.497100000000003</v>
      </c>
      <c r="T63" s="23">
        <f t="shared" si="12"/>
        <v>95.497100000000003</v>
      </c>
      <c r="U63" s="23">
        <f t="shared" si="12"/>
        <v>105.4971</v>
      </c>
      <c r="V63" s="220">
        <f t="shared" si="11"/>
        <v>45.218697510473689</v>
      </c>
      <c r="W63" s="220">
        <f t="shared" si="11"/>
        <v>32.199918630041481</v>
      </c>
      <c r="X63" s="220">
        <f t="shared" si="11"/>
        <v>25.119009522373183</v>
      </c>
      <c r="Y63" s="220">
        <f t="shared" si="11"/>
        <v>20.313518745888516</v>
      </c>
      <c r="Z63" s="220">
        <f t="shared" si="11"/>
        <v>16.703908015922181</v>
      </c>
      <c r="AA63" s="220">
        <f t="shared" si="11"/>
        <v>13.827809664333357</v>
      </c>
      <c r="AB63" s="220">
        <f t="shared" si="11"/>
        <v>11.445698297731491</v>
      </c>
      <c r="AC63" s="220">
        <f t="shared" si="11"/>
        <v>9.4179131863967545</v>
      </c>
      <c r="AD63" s="220">
        <f t="shared" si="11"/>
        <v>7.6561180443483767</v>
      </c>
      <c r="AE63" s="220">
        <f t="shared" si="11"/>
        <v>6.1010038724733118</v>
      </c>
    </row>
    <row r="64" spans="5:31" x14ac:dyDescent="0.25">
      <c r="E64" s="225">
        <v>5.8999999999999999E-3</v>
      </c>
      <c r="F64" s="222">
        <f t="shared" si="1"/>
        <v>5.8999999999999995</v>
      </c>
      <c r="G64" s="23">
        <f t="shared" ref="G64:T115" si="13">G$4-$E64*R0()</f>
        <v>-34.752949999999998</v>
      </c>
      <c r="H64" s="23">
        <f t="shared" si="12"/>
        <v>-24.752949999999998</v>
      </c>
      <c r="I64" s="23">
        <f t="shared" si="12"/>
        <v>-14.75295</v>
      </c>
      <c r="J64" s="23">
        <f t="shared" si="12"/>
        <v>-4.7529500000000002</v>
      </c>
      <c r="K64" s="23">
        <f t="shared" si="12"/>
        <v>5.2470499999999998</v>
      </c>
      <c r="L64" s="23">
        <f t="shared" si="12"/>
        <v>15.24705</v>
      </c>
      <c r="M64" s="23">
        <f t="shared" si="12"/>
        <v>25.247050000000002</v>
      </c>
      <c r="N64" s="23">
        <f t="shared" si="12"/>
        <v>35.247050000000002</v>
      </c>
      <c r="O64" s="23">
        <f t="shared" si="12"/>
        <v>45.247050000000002</v>
      </c>
      <c r="P64" s="23">
        <f t="shared" si="12"/>
        <v>55.247050000000002</v>
      </c>
      <c r="Q64" s="23">
        <f t="shared" si="12"/>
        <v>65.247050000000002</v>
      </c>
      <c r="R64" s="23">
        <f t="shared" si="12"/>
        <v>75.247050000000002</v>
      </c>
      <c r="S64" s="23">
        <f t="shared" si="12"/>
        <v>85.247050000000002</v>
      </c>
      <c r="T64" s="23">
        <f t="shared" si="12"/>
        <v>95.247050000000002</v>
      </c>
      <c r="U64" s="23">
        <f t="shared" si="12"/>
        <v>105.24705</v>
      </c>
      <c r="V64" s="220">
        <f t="shared" si="11"/>
        <v>45.560748173521404</v>
      </c>
      <c r="W64" s="220">
        <f t="shared" si="11"/>
        <v>32.509889635975625</v>
      </c>
      <c r="X64" s="220">
        <f t="shared" si="11"/>
        <v>25.412112944023079</v>
      </c>
      <c r="Y64" s="220">
        <f t="shared" si="11"/>
        <v>20.595407870370543</v>
      </c>
      <c r="Z64" s="220">
        <f t="shared" si="11"/>
        <v>16.977497477699437</v>
      </c>
      <c r="AA64" s="220">
        <f t="shared" si="11"/>
        <v>14.09486211606932</v>
      </c>
      <c r="AB64" s="220">
        <f t="shared" si="11"/>
        <v>11.707387588348665</v>
      </c>
      <c r="AC64" s="220">
        <f t="shared" si="11"/>
        <v>9.6750735222889386</v>
      </c>
      <c r="AD64" s="220">
        <f t="shared" si="11"/>
        <v>7.9093707251733516</v>
      </c>
      <c r="AE64" s="220">
        <f t="shared" si="11"/>
        <v>6.3508283488744244</v>
      </c>
    </row>
    <row r="65" spans="5:31" x14ac:dyDescent="0.25">
      <c r="E65" s="225">
        <v>6.0000000000000001E-3</v>
      </c>
      <c r="F65" s="222">
        <f t="shared" si="1"/>
        <v>6</v>
      </c>
      <c r="G65" s="23">
        <f t="shared" si="13"/>
        <v>-35.003</v>
      </c>
      <c r="H65" s="23">
        <f t="shared" si="12"/>
        <v>-25.003</v>
      </c>
      <c r="I65" s="23">
        <f t="shared" si="12"/>
        <v>-15.003</v>
      </c>
      <c r="J65" s="23">
        <f t="shared" si="12"/>
        <v>-5.0030000000000001</v>
      </c>
      <c r="K65" s="23">
        <f t="shared" si="12"/>
        <v>4.9969999999999999</v>
      </c>
      <c r="L65" s="23">
        <f t="shared" si="12"/>
        <v>14.997</v>
      </c>
      <c r="M65" s="23">
        <f t="shared" si="12"/>
        <v>24.997</v>
      </c>
      <c r="N65" s="23">
        <f t="shared" si="12"/>
        <v>34.997</v>
      </c>
      <c r="O65" s="23">
        <f t="shared" si="12"/>
        <v>44.997</v>
      </c>
      <c r="P65" s="23">
        <f t="shared" si="12"/>
        <v>54.997</v>
      </c>
      <c r="Q65" s="23">
        <f t="shared" si="12"/>
        <v>64.997</v>
      </c>
      <c r="R65" s="23">
        <f t="shared" si="12"/>
        <v>74.997</v>
      </c>
      <c r="S65" s="23">
        <f t="shared" si="12"/>
        <v>84.997</v>
      </c>
      <c r="T65" s="23">
        <f t="shared" si="12"/>
        <v>94.997</v>
      </c>
      <c r="U65" s="23">
        <f t="shared" si="12"/>
        <v>104.997</v>
      </c>
      <c r="V65" s="220">
        <f t="shared" si="11"/>
        <v>45.898019649042048</v>
      </c>
      <c r="W65" s="220">
        <f t="shared" si="11"/>
        <v>32.815474894554271</v>
      </c>
      <c r="X65" s="220">
        <f t="shared" si="11"/>
        <v>25.70103878734934</v>
      </c>
      <c r="Y65" s="220">
        <f t="shared" si="11"/>
        <v>20.87325830836906</v>
      </c>
      <c r="Z65" s="220">
        <f t="shared" si="11"/>
        <v>17.247151298160318</v>
      </c>
      <c r="AA65" s="220">
        <f t="shared" si="11"/>
        <v>14.35806023737117</v>
      </c>
      <c r="AB65" s="220">
        <f t="shared" si="11"/>
        <v>11.965289356776879</v>
      </c>
      <c r="AC65" s="220">
        <f t="shared" si="11"/>
        <v>9.9285028213802597</v>
      </c>
      <c r="AD65" s="220">
        <f t="shared" si="11"/>
        <v>8.1589411561022942</v>
      </c>
      <c r="AE65" s="220">
        <f t="shared" si="11"/>
        <v>6.5970134146783401</v>
      </c>
    </row>
    <row r="66" spans="5:31" x14ac:dyDescent="0.25">
      <c r="E66" s="225">
        <v>6.1000000000000004E-3</v>
      </c>
      <c r="F66" s="222">
        <f t="shared" si="1"/>
        <v>6.1000000000000005</v>
      </c>
      <c r="G66" s="23">
        <f t="shared" si="13"/>
        <v>-35.253050000000002</v>
      </c>
      <c r="H66" s="23">
        <f t="shared" si="12"/>
        <v>-25.253050000000002</v>
      </c>
      <c r="I66" s="23">
        <f t="shared" si="12"/>
        <v>-15.253050000000002</v>
      </c>
      <c r="J66" s="23">
        <f t="shared" si="12"/>
        <v>-5.2530500000000018</v>
      </c>
      <c r="K66" s="23">
        <f t="shared" si="12"/>
        <v>4.7469499999999982</v>
      </c>
      <c r="L66" s="23">
        <f t="shared" si="12"/>
        <v>14.746949999999998</v>
      </c>
      <c r="M66" s="23">
        <f t="shared" si="12"/>
        <v>24.746949999999998</v>
      </c>
      <c r="N66" s="23">
        <f t="shared" si="12"/>
        <v>34.746949999999998</v>
      </c>
      <c r="O66" s="23">
        <f t="shared" si="12"/>
        <v>44.746949999999998</v>
      </c>
      <c r="P66" s="23">
        <f t="shared" si="12"/>
        <v>54.746949999999998</v>
      </c>
      <c r="Q66" s="23">
        <f t="shared" si="12"/>
        <v>64.746949999999998</v>
      </c>
      <c r="R66" s="23">
        <f t="shared" si="12"/>
        <v>74.746949999999998</v>
      </c>
      <c r="S66" s="23">
        <f t="shared" si="12"/>
        <v>84.746949999999998</v>
      </c>
      <c r="T66" s="23">
        <f t="shared" si="12"/>
        <v>94.746949999999998</v>
      </c>
      <c r="U66" s="23">
        <f t="shared" si="12"/>
        <v>104.74695</v>
      </c>
      <c r="V66" s="220">
        <f t="shared" ref="V66:AE75" si="14">Enthalpie_p_phi_x(hx_druck,V$4,$E66)-$E66*R0()</f>
        <v>46.230661077596828</v>
      </c>
      <c r="W66" s="220">
        <f t="shared" si="14"/>
        <v>33.116811635687213</v>
      </c>
      <c r="X66" s="220">
        <f t="shared" si="14"/>
        <v>25.985917960555568</v>
      </c>
      <c r="Y66" s="220">
        <f t="shared" si="14"/>
        <v>21.147196742332255</v>
      </c>
      <c r="Z66" s="220">
        <f t="shared" si="14"/>
        <v>17.512993020470539</v>
      </c>
      <c r="AA66" s="220">
        <f t="shared" si="14"/>
        <v>14.617525091723124</v>
      </c>
      <c r="AB66" s="220">
        <f t="shared" si="14"/>
        <v>12.219522627400842</v>
      </c>
      <c r="AC66" s="220">
        <f t="shared" si="14"/>
        <v>10.178318382822034</v>
      </c>
      <c r="AD66" s="220">
        <f t="shared" si="14"/>
        <v>8.4049451452918333</v>
      </c>
      <c r="AE66" s="220">
        <f t="shared" si="14"/>
        <v>6.8396735681240237</v>
      </c>
    </row>
    <row r="67" spans="5:31" x14ac:dyDescent="0.25">
      <c r="E67" s="225">
        <v>6.1999999999999998E-3</v>
      </c>
      <c r="F67" s="222">
        <f t="shared" si="1"/>
        <v>6.2</v>
      </c>
      <c r="G67" s="23">
        <f t="shared" si="13"/>
        <v>-35.503100000000003</v>
      </c>
      <c r="H67" s="23">
        <f t="shared" si="12"/>
        <v>-25.5031</v>
      </c>
      <c r="I67" s="23">
        <f t="shared" si="12"/>
        <v>-15.5031</v>
      </c>
      <c r="J67" s="23">
        <f t="shared" si="12"/>
        <v>-5.5030999999999999</v>
      </c>
      <c r="K67" s="23">
        <f t="shared" si="12"/>
        <v>4.4969000000000001</v>
      </c>
      <c r="L67" s="23">
        <f t="shared" si="12"/>
        <v>14.4969</v>
      </c>
      <c r="M67" s="23">
        <f t="shared" si="12"/>
        <v>24.4969</v>
      </c>
      <c r="N67" s="23">
        <f t="shared" si="12"/>
        <v>34.496899999999997</v>
      </c>
      <c r="O67" s="23">
        <f t="shared" si="12"/>
        <v>44.496899999999997</v>
      </c>
      <c r="P67" s="23">
        <f t="shared" si="12"/>
        <v>54.496899999999997</v>
      </c>
      <c r="Q67" s="23">
        <f t="shared" si="12"/>
        <v>64.496899999999997</v>
      </c>
      <c r="R67" s="23">
        <f t="shared" si="12"/>
        <v>74.496899999999997</v>
      </c>
      <c r="S67" s="23">
        <f t="shared" si="12"/>
        <v>84.496899999999997</v>
      </c>
      <c r="T67" s="23">
        <f t="shared" si="12"/>
        <v>94.496899999999997</v>
      </c>
      <c r="U67" s="23">
        <f t="shared" si="12"/>
        <v>104.4969</v>
      </c>
      <c r="V67" s="220">
        <f t="shared" si="14"/>
        <v>46.558814599990399</v>
      </c>
      <c r="W67" s="220">
        <f t="shared" si="14"/>
        <v>33.414030637905654</v>
      </c>
      <c r="X67" s="220">
        <f t="shared" si="14"/>
        <v>26.266875212081462</v>
      </c>
      <c r="Y67" s="220">
        <f t="shared" si="14"/>
        <v>21.417343890097133</v>
      </c>
      <c r="Z67" s="220">
        <f t="shared" si="14"/>
        <v>17.775140368279882</v>
      </c>
      <c r="AA67" s="220">
        <f t="shared" si="14"/>
        <v>14.873372037774271</v>
      </c>
      <c r="AB67" s="220">
        <f t="shared" si="14"/>
        <v>12.470200814123071</v>
      </c>
      <c r="AC67" s="220">
        <f t="shared" si="14"/>
        <v>10.424631975147395</v>
      </c>
      <c r="AD67" s="220">
        <f t="shared" si="14"/>
        <v>8.6474930393265872</v>
      </c>
      <c r="AE67" s="220">
        <f t="shared" si="14"/>
        <v>7.0789179065587966</v>
      </c>
    </row>
    <row r="68" spans="5:31" x14ac:dyDescent="0.25">
      <c r="E68" s="225">
        <v>6.3E-3</v>
      </c>
      <c r="F68" s="222">
        <f t="shared" si="1"/>
        <v>6.3</v>
      </c>
      <c r="G68" s="23">
        <f t="shared" si="13"/>
        <v>-35.753149999999998</v>
      </c>
      <c r="H68" s="23">
        <f t="shared" si="12"/>
        <v>-25.753149999999998</v>
      </c>
      <c r="I68" s="23">
        <f t="shared" si="12"/>
        <v>-15.75315</v>
      </c>
      <c r="J68" s="23">
        <f t="shared" si="12"/>
        <v>-5.7531499999999998</v>
      </c>
      <c r="K68" s="23">
        <f t="shared" si="12"/>
        <v>4.2468500000000002</v>
      </c>
      <c r="L68" s="23">
        <f t="shared" si="12"/>
        <v>14.24685</v>
      </c>
      <c r="M68" s="23">
        <f t="shared" si="12"/>
        <v>24.246850000000002</v>
      </c>
      <c r="N68" s="23">
        <f t="shared" si="12"/>
        <v>34.246850000000002</v>
      </c>
      <c r="O68" s="23">
        <f t="shared" si="12"/>
        <v>44.246850000000002</v>
      </c>
      <c r="P68" s="23">
        <f t="shared" si="12"/>
        <v>54.246850000000002</v>
      </c>
      <c r="Q68" s="23">
        <f t="shared" si="12"/>
        <v>64.246849999999995</v>
      </c>
      <c r="R68" s="23">
        <f t="shared" si="12"/>
        <v>74.246849999999995</v>
      </c>
      <c r="S68" s="23">
        <f t="shared" si="12"/>
        <v>84.246849999999995</v>
      </c>
      <c r="T68" s="23">
        <f t="shared" si="12"/>
        <v>94.246849999999995</v>
      </c>
      <c r="U68" s="23">
        <f t="shared" si="12"/>
        <v>104.24684999999999</v>
      </c>
      <c r="V68" s="220">
        <f t="shared" si="14"/>
        <v>46.882615792700143</v>
      </c>
      <c r="W68" s="220">
        <f t="shared" si="14"/>
        <v>33.707256630148741</v>
      </c>
      <c r="X68" s="220">
        <f t="shared" si="14"/>
        <v>26.544029514474694</v>
      </c>
      <c r="Y68" s="220">
        <f t="shared" si="14"/>
        <v>21.683814876762959</v>
      </c>
      <c r="Z68" s="220">
        <f t="shared" si="14"/>
        <v>18.033705608669592</v>
      </c>
      <c r="AA68" s="220">
        <f t="shared" si="14"/>
        <v>15.125711085228138</v>
      </c>
      <c r="AB68" s="220">
        <f t="shared" si="14"/>
        <v>12.717432070444348</v>
      </c>
      <c r="AC68" s="220">
        <f t="shared" si="14"/>
        <v>10.667550181433233</v>
      </c>
      <c r="AD68" s="220">
        <f t="shared" si="14"/>
        <v>8.886690064127782</v>
      </c>
      <c r="AE68" s="220">
        <f t="shared" si="14"/>
        <v>7.3148504636081011</v>
      </c>
    </row>
    <row r="69" spans="5:31" x14ac:dyDescent="0.25">
      <c r="E69" s="225">
        <v>6.4000000000000003E-3</v>
      </c>
      <c r="F69" s="222">
        <f t="shared" si="1"/>
        <v>6.4</v>
      </c>
      <c r="G69" s="23">
        <f t="shared" si="13"/>
        <v>-36.0032</v>
      </c>
      <c r="H69" s="23">
        <f t="shared" si="12"/>
        <v>-26.0032</v>
      </c>
      <c r="I69" s="23">
        <f t="shared" si="12"/>
        <v>-16.0032</v>
      </c>
      <c r="J69" s="23">
        <f t="shared" si="12"/>
        <v>-6.0031999999999996</v>
      </c>
      <c r="K69" s="23">
        <f t="shared" si="12"/>
        <v>3.9968000000000004</v>
      </c>
      <c r="L69" s="23">
        <f t="shared" si="12"/>
        <v>13.9968</v>
      </c>
      <c r="M69" s="23">
        <f t="shared" si="12"/>
        <v>23.9968</v>
      </c>
      <c r="N69" s="23">
        <f t="shared" si="12"/>
        <v>33.9968</v>
      </c>
      <c r="O69" s="23">
        <f t="shared" si="12"/>
        <v>43.9968</v>
      </c>
      <c r="P69" s="23">
        <f t="shared" si="12"/>
        <v>53.9968</v>
      </c>
      <c r="Q69" s="23">
        <f t="shared" si="12"/>
        <v>63.9968</v>
      </c>
      <c r="R69" s="23">
        <f t="shared" si="12"/>
        <v>73.996800000000007</v>
      </c>
      <c r="S69" s="23">
        <f t="shared" si="12"/>
        <v>83.996800000000007</v>
      </c>
      <c r="T69" s="23">
        <f t="shared" si="12"/>
        <v>93.996800000000007</v>
      </c>
      <c r="U69" s="23">
        <f t="shared" si="12"/>
        <v>103.99680000000001</v>
      </c>
      <c r="V69" s="220">
        <f t="shared" si="14"/>
        <v>47.202194069776063</v>
      </c>
      <c r="W69" s="220">
        <f t="shared" si="14"/>
        <v>33.996608662583192</v>
      </c>
      <c r="X69" s="220">
        <f t="shared" si="14"/>
        <v>26.817494418662058</v>
      </c>
      <c r="Y69" s="220">
        <f t="shared" si="14"/>
        <v>21.946719577879556</v>
      </c>
      <c r="Z69" s="220">
        <f t="shared" si="14"/>
        <v>18.288795887096299</v>
      </c>
      <c r="AA69" s="220">
        <f t="shared" si="14"/>
        <v>15.374647223267402</v>
      </c>
      <c r="AB69" s="220">
        <f t="shared" si="14"/>
        <v>12.961319612523194</v>
      </c>
      <c r="AC69" s="220">
        <f t="shared" si="14"/>
        <v>10.907174717817</v>
      </c>
      <c r="AD69" s="220">
        <f t="shared" si="14"/>
        <v>9.1226366395416605</v>
      </c>
      <c r="AE69" s="220">
        <f t="shared" si="14"/>
        <v>7.5475705203108028</v>
      </c>
    </row>
    <row r="70" spans="5:31" x14ac:dyDescent="0.25">
      <c r="E70" s="225">
        <v>6.4999999999999997E-3</v>
      </c>
      <c r="F70" s="222">
        <f t="shared" ref="F70:F133" si="15">E70*1000</f>
        <v>6.5</v>
      </c>
      <c r="G70" s="23">
        <f t="shared" si="13"/>
        <v>-36.253249999999994</v>
      </c>
      <c r="H70" s="23">
        <f t="shared" si="12"/>
        <v>-26.253249999999998</v>
      </c>
      <c r="I70" s="23">
        <f t="shared" si="12"/>
        <v>-16.253249999999998</v>
      </c>
      <c r="J70" s="23">
        <f t="shared" si="12"/>
        <v>-6.2532499999999978</v>
      </c>
      <c r="K70" s="23">
        <f t="shared" si="12"/>
        <v>3.7467500000000022</v>
      </c>
      <c r="L70" s="23">
        <f t="shared" si="12"/>
        <v>13.746750000000002</v>
      </c>
      <c r="M70" s="23">
        <f t="shared" si="12"/>
        <v>23.746750000000002</v>
      </c>
      <c r="N70" s="23">
        <f t="shared" si="12"/>
        <v>33.746750000000006</v>
      </c>
      <c r="O70" s="23">
        <f t="shared" si="12"/>
        <v>43.746750000000006</v>
      </c>
      <c r="P70" s="23">
        <f t="shared" si="12"/>
        <v>53.746750000000006</v>
      </c>
      <c r="Q70" s="23">
        <f t="shared" si="12"/>
        <v>63.746750000000006</v>
      </c>
      <c r="R70" s="23">
        <f t="shared" si="12"/>
        <v>73.746750000000006</v>
      </c>
      <c r="S70" s="23">
        <f t="shared" si="12"/>
        <v>83.746750000000006</v>
      </c>
      <c r="T70" s="23">
        <f t="shared" si="12"/>
        <v>93.746750000000006</v>
      </c>
      <c r="U70" s="23">
        <f t="shared" si="12"/>
        <v>103.74675000000001</v>
      </c>
      <c r="V70" s="220">
        <f t="shared" si="14"/>
        <v>47.517673054273686</v>
      </c>
      <c r="W70" s="220">
        <f t="shared" si="14"/>
        <v>34.28220044928716</v>
      </c>
      <c r="X70" s="220">
        <f t="shared" si="14"/>
        <v>27.087378381326982</v>
      </c>
      <c r="Y70" s="220">
        <f t="shared" si="14"/>
        <v>22.206162936574383</v>
      </c>
      <c r="Z70" s="220">
        <f t="shared" si="14"/>
        <v>18.540513536894107</v>
      </c>
      <c r="AA70" s="220">
        <f t="shared" si="14"/>
        <v>15.620280724027133</v>
      </c>
      <c r="AB70" s="220">
        <f t="shared" si="14"/>
        <v>13.201962017687205</v>
      </c>
      <c r="AC70" s="220">
        <f t="shared" si="14"/>
        <v>11.143602727807004</v>
      </c>
      <c r="AD70" s="220">
        <f t="shared" si="14"/>
        <v>9.3554286700170017</v>
      </c>
      <c r="AE70" s="220">
        <f t="shared" si="14"/>
        <v>7.777172892603371</v>
      </c>
    </row>
    <row r="71" spans="5:31" x14ac:dyDescent="0.25">
      <c r="E71" s="225">
        <v>6.6E-3</v>
      </c>
      <c r="F71" s="222">
        <f t="shared" si="15"/>
        <v>6.6</v>
      </c>
      <c r="G71" s="23">
        <f t="shared" si="13"/>
        <v>-36.503299999999996</v>
      </c>
      <c r="H71" s="23">
        <f t="shared" si="12"/>
        <v>-26.503299999999999</v>
      </c>
      <c r="I71" s="23">
        <f t="shared" si="12"/>
        <v>-16.503299999999999</v>
      </c>
      <c r="J71" s="23">
        <f t="shared" si="12"/>
        <v>-6.5032999999999994</v>
      </c>
      <c r="K71" s="23">
        <f t="shared" si="12"/>
        <v>3.4967000000000006</v>
      </c>
      <c r="L71" s="23">
        <f t="shared" si="12"/>
        <v>13.496700000000001</v>
      </c>
      <c r="M71" s="23">
        <f t="shared" si="12"/>
        <v>23.496700000000001</v>
      </c>
      <c r="N71" s="23">
        <f t="shared" si="12"/>
        <v>33.496700000000004</v>
      </c>
      <c r="O71" s="23">
        <f t="shared" si="12"/>
        <v>43.496700000000004</v>
      </c>
      <c r="P71" s="23">
        <f t="shared" si="12"/>
        <v>53.496700000000004</v>
      </c>
      <c r="Q71" s="23">
        <f t="shared" si="12"/>
        <v>63.496700000000004</v>
      </c>
      <c r="R71" s="23">
        <f t="shared" si="12"/>
        <v>73.496700000000004</v>
      </c>
      <c r="S71" s="23">
        <f t="shared" si="12"/>
        <v>83.496700000000004</v>
      </c>
      <c r="T71" s="23">
        <f t="shared" si="12"/>
        <v>93.496700000000004</v>
      </c>
      <c r="U71" s="23">
        <f t="shared" si="12"/>
        <v>103.4967</v>
      </c>
      <c r="V71" s="220">
        <f t="shared" si="14"/>
        <v>47.829170921960554</v>
      </c>
      <c r="W71" s="220">
        <f t="shared" si="14"/>
        <v>34.564140685330301</v>
      </c>
      <c r="X71" s="220">
        <f t="shared" si="14"/>
        <v>27.353785067814936</v>
      </c>
      <c r="Y71" s="220">
        <f t="shared" si="14"/>
        <v>22.462245256965826</v>
      </c>
      <c r="Z71" s="220">
        <f t="shared" si="14"/>
        <v>18.788956365627154</v>
      </c>
      <c r="AA71" s="220">
        <f t="shared" si="14"/>
        <v>15.862707423364665</v>
      </c>
      <c r="AB71" s="220">
        <f t="shared" si="14"/>
        <v>13.439453500608515</v>
      </c>
      <c r="AC71" s="220">
        <f t="shared" si="14"/>
        <v>11.376927054567989</v>
      </c>
      <c r="AD71" s="220">
        <f t="shared" si="14"/>
        <v>9.5851578135269797</v>
      </c>
      <c r="AE71" s="220">
        <f t="shared" si="14"/>
        <v>8.0037481972851481</v>
      </c>
    </row>
    <row r="72" spans="5:31" x14ac:dyDescent="0.25">
      <c r="E72" s="225">
        <v>6.7000000000000002E-3</v>
      </c>
      <c r="F72" s="222">
        <f t="shared" si="15"/>
        <v>6.7</v>
      </c>
      <c r="G72" s="23">
        <f t="shared" si="13"/>
        <v>-36.753349999999998</v>
      </c>
      <c r="H72" s="23">
        <f t="shared" si="12"/>
        <v>-26.753350000000001</v>
      </c>
      <c r="I72" s="23">
        <f t="shared" si="12"/>
        <v>-16.753350000000001</v>
      </c>
      <c r="J72" s="23">
        <f t="shared" si="12"/>
        <v>-6.7533500000000011</v>
      </c>
      <c r="K72" s="23">
        <f t="shared" si="12"/>
        <v>3.2466499999999989</v>
      </c>
      <c r="L72" s="23">
        <f t="shared" si="12"/>
        <v>13.246649999999999</v>
      </c>
      <c r="M72" s="23">
        <f t="shared" si="12"/>
        <v>23.246649999999999</v>
      </c>
      <c r="N72" s="23">
        <f t="shared" si="12"/>
        <v>33.246650000000002</v>
      </c>
      <c r="O72" s="23">
        <f t="shared" si="12"/>
        <v>43.246650000000002</v>
      </c>
      <c r="P72" s="23">
        <f t="shared" si="12"/>
        <v>53.246650000000002</v>
      </c>
      <c r="Q72" s="23">
        <f t="shared" si="12"/>
        <v>63.246650000000002</v>
      </c>
      <c r="R72" s="23">
        <f t="shared" si="12"/>
        <v>73.246650000000002</v>
      </c>
      <c r="S72" s="23">
        <f t="shared" si="12"/>
        <v>83.246650000000002</v>
      </c>
      <c r="T72" s="23">
        <f t="shared" si="12"/>
        <v>93.246650000000002</v>
      </c>
      <c r="U72" s="23">
        <f t="shared" si="12"/>
        <v>103.24665</v>
      </c>
      <c r="V72" s="220">
        <f t="shared" si="14"/>
        <v>48.136800719752344</v>
      </c>
      <c r="W72" s="220">
        <f t="shared" si="14"/>
        <v>34.842533340520291</v>
      </c>
      <c r="X72" s="220">
        <f t="shared" si="14"/>
        <v>27.616813632737088</v>
      </c>
      <c r="Y72" s="220">
        <f t="shared" si="14"/>
        <v>22.71506247596616</v>
      </c>
      <c r="Z72" s="220">
        <f t="shared" si="14"/>
        <v>19.034217920346645</v>
      </c>
      <c r="AA72" s="220">
        <f t="shared" si="14"/>
        <v>16.102018980940908</v>
      </c>
      <c r="AB72" s="220">
        <f t="shared" si="14"/>
        <v>13.673884169125724</v>
      </c>
      <c r="AC72" s="220">
        <f t="shared" si="14"/>
        <v>11.607236493136956</v>
      </c>
      <c r="AD72" s="220">
        <f t="shared" si="14"/>
        <v>9.8119117306667079</v>
      </c>
      <c r="AE72" s="220">
        <f t="shared" si="14"/>
        <v>8.227383098374748</v>
      </c>
    </row>
    <row r="73" spans="5:31" x14ac:dyDescent="0.25">
      <c r="E73" s="225">
        <v>6.7999999999999996E-3</v>
      </c>
      <c r="F73" s="222">
        <f t="shared" si="15"/>
        <v>6.8</v>
      </c>
      <c r="G73" s="23">
        <f t="shared" si="13"/>
        <v>-37.003399999999999</v>
      </c>
      <c r="H73" s="23">
        <f t="shared" si="12"/>
        <v>-27.003399999999999</v>
      </c>
      <c r="I73" s="23">
        <f t="shared" si="12"/>
        <v>-17.003399999999999</v>
      </c>
      <c r="J73" s="23">
        <f t="shared" si="12"/>
        <v>-7.0033999999999992</v>
      </c>
      <c r="K73" s="23">
        <f t="shared" si="12"/>
        <v>2.9966000000000008</v>
      </c>
      <c r="L73" s="23">
        <f t="shared" si="12"/>
        <v>12.996600000000001</v>
      </c>
      <c r="M73" s="23">
        <f t="shared" si="12"/>
        <v>22.996600000000001</v>
      </c>
      <c r="N73" s="23">
        <f t="shared" si="12"/>
        <v>32.996600000000001</v>
      </c>
      <c r="O73" s="23">
        <f t="shared" si="12"/>
        <v>42.996600000000001</v>
      </c>
      <c r="P73" s="23">
        <f t="shared" si="12"/>
        <v>52.996600000000001</v>
      </c>
      <c r="Q73" s="23">
        <f t="shared" si="12"/>
        <v>62.996600000000001</v>
      </c>
      <c r="R73" s="23">
        <f t="shared" si="12"/>
        <v>72.996600000000001</v>
      </c>
      <c r="S73" s="23">
        <f t="shared" si="12"/>
        <v>82.996600000000001</v>
      </c>
      <c r="T73" s="23">
        <f t="shared" si="12"/>
        <v>92.996600000000001</v>
      </c>
      <c r="U73" s="23">
        <f t="shared" si="12"/>
        <v>102.9966</v>
      </c>
      <c r="V73" s="220">
        <f t="shared" si="14"/>
        <v>48.440670661084212</v>
      </c>
      <c r="W73" s="220">
        <f t="shared" si="14"/>
        <v>35.117477931853522</v>
      </c>
      <c r="X73" s="220">
        <f t="shared" si="14"/>
        <v>27.876558980220906</v>
      </c>
      <c r="Y73" s="220">
        <f t="shared" si="14"/>
        <v>22.964706415363175</v>
      </c>
      <c r="Z73" s="220">
        <f t="shared" si="14"/>
        <v>19.276387733596259</v>
      </c>
      <c r="AA73" s="220">
        <f t="shared" si="14"/>
        <v>16.338303121422001</v>
      </c>
      <c r="AB73" s="220">
        <f t="shared" si="14"/>
        <v>13.905340261492135</v>
      </c>
      <c r="AC73" s="220">
        <f t="shared" si="14"/>
        <v>11.834616024324415</v>
      </c>
      <c r="AD73" s="220">
        <f t="shared" si="14"/>
        <v>10.035774315660341</v>
      </c>
      <c r="AE73" s="220">
        <f t="shared" si="14"/>
        <v>8.4481605355734928</v>
      </c>
    </row>
    <row r="74" spans="5:31" x14ac:dyDescent="0.25">
      <c r="E74" s="225">
        <v>6.8999999999999999E-3</v>
      </c>
      <c r="F74" s="222">
        <f t="shared" si="15"/>
        <v>6.8999999999999995</v>
      </c>
      <c r="G74" s="23">
        <f t="shared" si="13"/>
        <v>-37.253450000000001</v>
      </c>
      <c r="H74" s="23">
        <f t="shared" si="12"/>
        <v>-27.253450000000001</v>
      </c>
      <c r="I74" s="23">
        <f t="shared" si="12"/>
        <v>-17.253450000000001</v>
      </c>
      <c r="J74" s="23">
        <f t="shared" si="12"/>
        <v>-7.2534500000000008</v>
      </c>
      <c r="K74" s="23">
        <f t="shared" si="12"/>
        <v>2.7465499999999992</v>
      </c>
      <c r="L74" s="23">
        <f t="shared" si="12"/>
        <v>12.746549999999999</v>
      </c>
      <c r="M74" s="23">
        <f t="shared" si="12"/>
        <v>22.746549999999999</v>
      </c>
      <c r="N74" s="23">
        <f t="shared" si="12"/>
        <v>32.746549999999999</v>
      </c>
      <c r="O74" s="23">
        <f t="shared" si="12"/>
        <v>42.746549999999999</v>
      </c>
      <c r="P74" s="23">
        <f t="shared" si="12"/>
        <v>52.746549999999999</v>
      </c>
      <c r="Q74" s="23">
        <f t="shared" si="12"/>
        <v>62.746549999999999</v>
      </c>
      <c r="R74" s="23">
        <f t="shared" si="12"/>
        <v>72.746549999999999</v>
      </c>
      <c r="S74" s="23">
        <f t="shared" si="12"/>
        <v>82.746549999999999</v>
      </c>
      <c r="T74" s="23">
        <f t="shared" si="12"/>
        <v>92.746549999999999</v>
      </c>
      <c r="U74" s="23">
        <f t="shared" si="12"/>
        <v>102.74655</v>
      </c>
      <c r="V74" s="220">
        <f t="shared" si="14"/>
        <v>48.740884400200841</v>
      </c>
      <c r="W74" s="220">
        <f t="shared" si="14"/>
        <v>35.389069776502552</v>
      </c>
      <c r="X74" s="220">
        <f t="shared" si="14"/>
        <v>28.133112005559909</v>
      </c>
      <c r="Y74" s="220">
        <f t="shared" si="14"/>
        <v>23.21126501587851</v>
      </c>
      <c r="Z74" s="220">
        <f t="shared" si="14"/>
        <v>19.515551551824458</v>
      </c>
      <c r="AA74" s="220">
        <f t="shared" si="14"/>
        <v>16.57164385842762</v>
      </c>
      <c r="AB74" s="220">
        <f t="shared" si="14"/>
        <v>14.133904366650697</v>
      </c>
      <c r="AC74" s="220">
        <f t="shared" si="14"/>
        <v>12.059147031879327</v>
      </c>
      <c r="AD74" s="220">
        <f t="shared" si="14"/>
        <v>10.256825910836852</v>
      </c>
      <c r="AE74" s="220">
        <f t="shared" si="14"/>
        <v>8.6661599363773689</v>
      </c>
    </row>
    <row r="75" spans="5:31" x14ac:dyDescent="0.25">
      <c r="E75" s="225">
        <v>7.0000000000000001E-3</v>
      </c>
      <c r="F75" s="222">
        <f t="shared" si="15"/>
        <v>7</v>
      </c>
      <c r="G75" s="23">
        <f t="shared" si="13"/>
        <v>-37.503500000000003</v>
      </c>
      <c r="H75" s="23">
        <f t="shared" si="12"/>
        <v>-27.503499999999999</v>
      </c>
      <c r="I75" s="23">
        <f t="shared" si="12"/>
        <v>-17.503499999999999</v>
      </c>
      <c r="J75" s="23">
        <f t="shared" si="12"/>
        <v>-7.5034999999999989</v>
      </c>
      <c r="K75" s="23">
        <f t="shared" si="12"/>
        <v>2.4965000000000011</v>
      </c>
      <c r="L75" s="23">
        <f t="shared" si="12"/>
        <v>12.496500000000001</v>
      </c>
      <c r="M75" s="23">
        <f t="shared" si="12"/>
        <v>22.496500000000001</v>
      </c>
      <c r="N75" s="23">
        <f t="shared" si="12"/>
        <v>32.496499999999997</v>
      </c>
      <c r="O75" s="23">
        <f t="shared" si="12"/>
        <v>42.496499999999997</v>
      </c>
      <c r="P75" s="23">
        <f t="shared" si="12"/>
        <v>52.496499999999997</v>
      </c>
      <c r="Q75" s="23">
        <f t="shared" si="12"/>
        <v>62.496499999999997</v>
      </c>
      <c r="R75" s="23">
        <f t="shared" si="12"/>
        <v>72.496499999999997</v>
      </c>
      <c r="S75" s="23">
        <f t="shared" si="12"/>
        <v>82.496499999999997</v>
      </c>
      <c r="T75" s="23">
        <f t="shared" si="12"/>
        <v>92.496499999999997</v>
      </c>
      <c r="U75" s="23">
        <f t="shared" si="12"/>
        <v>102.4965</v>
      </c>
      <c r="V75" s="220">
        <f t="shared" si="14"/>
        <v>49.037541287151953</v>
      </c>
      <c r="W75" s="220">
        <f t="shared" si="14"/>
        <v>35.657400226991683</v>
      </c>
      <c r="X75" s="220">
        <f t="shared" si="14"/>
        <v>28.386559819840958</v>
      </c>
      <c r="Y75" s="220">
        <f t="shared" si="14"/>
        <v>23.454822554732846</v>
      </c>
      <c r="Z75" s="220">
        <f t="shared" si="14"/>
        <v>19.751791547697135</v>
      </c>
      <c r="AA75" s="220">
        <f t="shared" si="14"/>
        <v>16.802121702691149</v>
      </c>
      <c r="AB75" s="220">
        <f t="shared" si="14"/>
        <v>14.359655628976942</v>
      </c>
      <c r="AC75" s="220">
        <f t="shared" si="14"/>
        <v>12.280907504339154</v>
      </c>
      <c r="AD75" s="220">
        <f t="shared" si="14"/>
        <v>10.475143505978654</v>
      </c>
      <c r="AE75" s="220">
        <f t="shared" si="14"/>
        <v>8.8814574132270998</v>
      </c>
    </row>
    <row r="76" spans="5:31" x14ac:dyDescent="0.25">
      <c r="E76" s="225">
        <v>7.1000000000000004E-3</v>
      </c>
      <c r="F76" s="222">
        <f t="shared" si="15"/>
        <v>7.1000000000000005</v>
      </c>
      <c r="G76" s="23">
        <f t="shared" si="13"/>
        <v>-37.753550000000004</v>
      </c>
      <c r="H76" s="23">
        <f t="shared" si="12"/>
        <v>-27.753550000000001</v>
      </c>
      <c r="I76" s="23">
        <f t="shared" si="12"/>
        <v>-17.753550000000001</v>
      </c>
      <c r="J76" s="23">
        <f t="shared" si="12"/>
        <v>-7.7535500000000006</v>
      </c>
      <c r="K76" s="23">
        <f t="shared" si="12"/>
        <v>2.2464499999999994</v>
      </c>
      <c r="L76" s="23">
        <f t="shared" si="12"/>
        <v>12.246449999999999</v>
      </c>
      <c r="M76" s="23">
        <f t="shared" si="12"/>
        <v>22.246449999999999</v>
      </c>
      <c r="N76" s="23">
        <f t="shared" si="12"/>
        <v>32.246449999999996</v>
      </c>
      <c r="O76" s="23">
        <f t="shared" si="12"/>
        <v>42.246449999999996</v>
      </c>
      <c r="P76" s="23">
        <f t="shared" si="12"/>
        <v>52.246449999999996</v>
      </c>
      <c r="Q76" s="23">
        <f t="shared" si="12"/>
        <v>62.246449999999996</v>
      </c>
      <c r="R76" s="23">
        <f t="shared" si="12"/>
        <v>72.246449999999996</v>
      </c>
      <c r="S76" s="23">
        <f t="shared" si="12"/>
        <v>82.246449999999996</v>
      </c>
      <c r="T76" s="23">
        <f t="shared" si="12"/>
        <v>92.246449999999996</v>
      </c>
      <c r="U76" s="23">
        <f t="shared" si="12"/>
        <v>102.24645</v>
      </c>
      <c r="V76" s="220">
        <f t="shared" ref="V76:AE85" si="16">Enthalpie_p_phi_x(hx_druck,V$4,$E76)-$E76*R0()</f>
        <v>49.330736605105486</v>
      </c>
      <c r="W76" s="220">
        <f t="shared" si="16"/>
        <v>35.922556890049336</v>
      </c>
      <c r="X76" s="220">
        <f t="shared" si="16"/>
        <v>28.636985958972989</v>
      </c>
      <c r="Y76" s="220">
        <f t="shared" si="16"/>
        <v>23.69545984809756</v>
      </c>
      <c r="Z76" s="220">
        <f t="shared" si="16"/>
        <v>19.985186517657919</v>
      </c>
      <c r="AA76" s="220">
        <f t="shared" si="16"/>
        <v>17.029813855753051</v>
      </c>
      <c r="AB76" s="220">
        <f t="shared" si="16"/>
        <v>14.582669938790207</v>
      </c>
      <c r="AC76" s="220">
        <f t="shared" si="16"/>
        <v>12.499972222847155</v>
      </c>
      <c r="AD76" s="220">
        <f t="shared" si="16"/>
        <v>10.690800923809565</v>
      </c>
      <c r="AE76" s="220">
        <f t="shared" si="16"/>
        <v>9.0941259469486546</v>
      </c>
    </row>
    <row r="77" spans="5:31" x14ac:dyDescent="0.25">
      <c r="E77" s="225">
        <v>7.1999999999999998E-3</v>
      </c>
      <c r="F77" s="222">
        <f t="shared" si="15"/>
        <v>7.2</v>
      </c>
      <c r="G77" s="23">
        <f t="shared" si="13"/>
        <v>-38.003599999999999</v>
      </c>
      <c r="H77" s="23">
        <f t="shared" si="12"/>
        <v>-28.003599999999999</v>
      </c>
      <c r="I77" s="23">
        <f t="shared" si="12"/>
        <v>-18.003599999999999</v>
      </c>
      <c r="J77" s="23">
        <f t="shared" si="12"/>
        <v>-8.0035999999999987</v>
      </c>
      <c r="K77" s="23">
        <f t="shared" si="12"/>
        <v>1.9964000000000013</v>
      </c>
      <c r="L77" s="23">
        <f t="shared" si="12"/>
        <v>11.996400000000001</v>
      </c>
      <c r="M77" s="23">
        <f t="shared" si="12"/>
        <v>21.996400000000001</v>
      </c>
      <c r="N77" s="23">
        <f t="shared" si="12"/>
        <v>31.996400000000001</v>
      </c>
      <c r="O77" s="23">
        <f t="shared" si="12"/>
        <v>41.996400000000001</v>
      </c>
      <c r="P77" s="23">
        <f t="shared" si="12"/>
        <v>51.996400000000001</v>
      </c>
      <c r="Q77" s="23">
        <f t="shared" si="12"/>
        <v>61.996400000000001</v>
      </c>
      <c r="R77" s="23">
        <f t="shared" si="12"/>
        <v>71.996399999999994</v>
      </c>
      <c r="S77" s="23">
        <f t="shared" si="12"/>
        <v>81.996399999999994</v>
      </c>
      <c r="T77" s="23">
        <f t="shared" si="12"/>
        <v>91.996399999999994</v>
      </c>
      <c r="U77" s="23">
        <f t="shared" si="12"/>
        <v>101.99639999999999</v>
      </c>
      <c r="V77" s="220">
        <f t="shared" si="16"/>
        <v>49.620561791435144</v>
      </c>
      <c r="W77" s="220">
        <f t="shared" si="16"/>
        <v>36.184623830483623</v>
      </c>
      <c r="X77" s="220">
        <f t="shared" si="16"/>
        <v>28.884470578403729</v>
      </c>
      <c r="Y77" s="220">
        <f t="shared" si="16"/>
        <v>23.93325443968012</v>
      </c>
      <c r="Z77" s="220">
        <f t="shared" si="16"/>
        <v>20.215812065953621</v>
      </c>
      <c r="AA77" s="220">
        <f t="shared" si="16"/>
        <v>17.25479439038142</v>
      </c>
      <c r="AB77" s="220">
        <f t="shared" si="16"/>
        <v>14.80302010980796</v>
      </c>
      <c r="AC77" s="220">
        <f t="shared" si="16"/>
        <v>12.716412936095598</v>
      </c>
      <c r="AD77" s="220">
        <f t="shared" si="16"/>
        <v>10.903868992766718</v>
      </c>
      <c r="AE77" s="220">
        <f t="shared" si="16"/>
        <v>9.30423555761692</v>
      </c>
    </row>
    <row r="78" spans="5:31" x14ac:dyDescent="0.25">
      <c r="E78" s="225">
        <v>7.3000000000000001E-3</v>
      </c>
      <c r="F78" s="222">
        <f t="shared" si="15"/>
        <v>7.3</v>
      </c>
      <c r="G78" s="23">
        <f t="shared" si="13"/>
        <v>-38.25365</v>
      </c>
      <c r="H78" s="23">
        <f t="shared" si="12"/>
        <v>-28.25365</v>
      </c>
      <c r="I78" s="23">
        <f t="shared" si="12"/>
        <v>-18.25365</v>
      </c>
      <c r="J78" s="23">
        <f t="shared" si="12"/>
        <v>-8.2536500000000004</v>
      </c>
      <c r="K78" s="23">
        <f t="shared" si="12"/>
        <v>1.7463499999999996</v>
      </c>
      <c r="L78" s="23">
        <f t="shared" si="12"/>
        <v>11.74635</v>
      </c>
      <c r="M78" s="23">
        <f t="shared" si="12"/>
        <v>21.74635</v>
      </c>
      <c r="N78" s="23">
        <f t="shared" si="12"/>
        <v>31.74635</v>
      </c>
      <c r="O78" s="23">
        <f t="shared" si="12"/>
        <v>41.74635</v>
      </c>
      <c r="P78" s="23">
        <f t="shared" si="12"/>
        <v>51.74635</v>
      </c>
      <c r="Q78" s="23">
        <f t="shared" si="12"/>
        <v>61.74635</v>
      </c>
      <c r="R78" s="23">
        <f t="shared" si="12"/>
        <v>71.746350000000007</v>
      </c>
      <c r="S78" s="23">
        <f t="shared" si="12"/>
        <v>81.746350000000007</v>
      </c>
      <c r="T78" s="23">
        <f t="shared" si="12"/>
        <v>91.746350000000007</v>
      </c>
      <c r="U78" s="23">
        <f t="shared" si="12"/>
        <v>101.74635000000001</v>
      </c>
      <c r="V78" s="220">
        <f t="shared" si="16"/>
        <v>49.907104643900446</v>
      </c>
      <c r="W78" s="220">
        <f t="shared" si="16"/>
        <v>36.443681761298272</v>
      </c>
      <c r="X78" s="220">
        <f t="shared" si="16"/>
        <v>29.129090634688509</v>
      </c>
      <c r="Y78" s="220">
        <f t="shared" si="16"/>
        <v>24.168280776571024</v>
      </c>
      <c r="Z78" s="220">
        <f t="shared" si="16"/>
        <v>20.443740776226143</v>
      </c>
      <c r="AA78" s="220">
        <f t="shared" si="16"/>
        <v>17.477134418800169</v>
      </c>
      <c r="AB78" s="220">
        <f t="shared" si="16"/>
        <v>15.020776044605959</v>
      </c>
      <c r="AC78" s="220">
        <f t="shared" si="16"/>
        <v>12.930298523442666</v>
      </c>
      <c r="AD78" s="220">
        <f t="shared" si="16"/>
        <v>11.114415708091542</v>
      </c>
      <c r="AE78" s="220">
        <f t="shared" si="16"/>
        <v>9.5118534638656982</v>
      </c>
    </row>
    <row r="79" spans="5:31" x14ac:dyDescent="0.25">
      <c r="E79" s="225">
        <v>7.4000000000000003E-3</v>
      </c>
      <c r="F79" s="222">
        <f t="shared" si="15"/>
        <v>7.4</v>
      </c>
      <c r="G79" s="23">
        <f t="shared" si="13"/>
        <v>-38.503700000000002</v>
      </c>
      <c r="H79" s="23">
        <f t="shared" si="12"/>
        <v>-28.503700000000002</v>
      </c>
      <c r="I79" s="23">
        <f t="shared" si="12"/>
        <v>-18.503700000000002</v>
      </c>
      <c r="J79" s="23">
        <f t="shared" si="12"/>
        <v>-8.503700000000002</v>
      </c>
      <c r="K79" s="23">
        <f t="shared" si="12"/>
        <v>1.496299999999998</v>
      </c>
      <c r="L79" s="23">
        <f t="shared" si="12"/>
        <v>11.496299999999998</v>
      </c>
      <c r="M79" s="23">
        <f t="shared" si="12"/>
        <v>21.496299999999998</v>
      </c>
      <c r="N79" s="23">
        <f t="shared" si="12"/>
        <v>31.496299999999998</v>
      </c>
      <c r="O79" s="23">
        <f t="shared" si="12"/>
        <v>41.496299999999998</v>
      </c>
      <c r="P79" s="23">
        <f t="shared" si="12"/>
        <v>51.496299999999998</v>
      </c>
      <c r="Q79" s="23">
        <f t="shared" si="12"/>
        <v>61.496299999999998</v>
      </c>
      <c r="R79" s="23">
        <f t="shared" si="12"/>
        <v>71.496299999999991</v>
      </c>
      <c r="S79" s="23">
        <f t="shared" si="12"/>
        <v>81.496299999999991</v>
      </c>
      <c r="T79" s="23">
        <f t="shared" si="12"/>
        <v>91.496299999999991</v>
      </c>
      <c r="U79" s="23">
        <f t="shared" si="12"/>
        <v>101.49629999999999</v>
      </c>
      <c r="V79" s="220">
        <f t="shared" si="16"/>
        <v>50.19044951311421</v>
      </c>
      <c r="W79" s="220">
        <f t="shared" si="16"/>
        <v>36.699808221152686</v>
      </c>
      <c r="X79" s="220">
        <f t="shared" si="16"/>
        <v>29.370920054965929</v>
      </c>
      <c r="Y79" s="220">
        <f t="shared" si="16"/>
        <v>24.400610373374768</v>
      </c>
      <c r="Z79" s="220">
        <f t="shared" si="16"/>
        <v>20.669042371668759</v>
      </c>
      <c r="AA79" s="220">
        <f t="shared" si="16"/>
        <v>17.696902249703392</v>
      </c>
      <c r="AB79" s="220">
        <f t="shared" si="16"/>
        <v>15.236004889047365</v>
      </c>
      <c r="AC79" s="220">
        <f t="shared" si="16"/>
        <v>13.141695147153079</v>
      </c>
      <c r="AD79" s="220">
        <f t="shared" si="16"/>
        <v>11.32250638217802</v>
      </c>
      <c r="AE79" s="220">
        <f t="shared" si="16"/>
        <v>9.7170442315731904</v>
      </c>
    </row>
    <row r="80" spans="5:31" x14ac:dyDescent="0.25">
      <c r="E80" s="225">
        <v>7.4999999999999997E-3</v>
      </c>
      <c r="F80" s="222">
        <f t="shared" si="15"/>
        <v>7.5</v>
      </c>
      <c r="G80" s="23">
        <f t="shared" si="13"/>
        <v>-38.753749999999997</v>
      </c>
      <c r="H80" s="23">
        <f t="shared" si="12"/>
        <v>-28.75375</v>
      </c>
      <c r="I80" s="23">
        <f t="shared" si="12"/>
        <v>-18.75375</v>
      </c>
      <c r="J80" s="23">
        <f t="shared" si="12"/>
        <v>-8.7537500000000001</v>
      </c>
      <c r="K80" s="23">
        <f t="shared" si="12"/>
        <v>1.2462499999999999</v>
      </c>
      <c r="L80" s="23">
        <f t="shared" si="12"/>
        <v>11.24625</v>
      </c>
      <c r="M80" s="23">
        <f t="shared" si="12"/>
        <v>21.24625</v>
      </c>
      <c r="N80" s="23">
        <f t="shared" si="12"/>
        <v>31.24625</v>
      </c>
      <c r="O80" s="23">
        <f t="shared" si="12"/>
        <v>41.246250000000003</v>
      </c>
      <c r="P80" s="23">
        <f t="shared" si="12"/>
        <v>51.246250000000003</v>
      </c>
      <c r="Q80" s="23">
        <f t="shared" si="12"/>
        <v>61.246250000000003</v>
      </c>
      <c r="R80" s="23">
        <f t="shared" si="12"/>
        <v>71.246250000000003</v>
      </c>
      <c r="S80" s="23">
        <f t="shared" si="12"/>
        <v>81.246250000000003</v>
      </c>
      <c r="T80" s="23">
        <f t="shared" si="12"/>
        <v>91.246250000000003</v>
      </c>
      <c r="U80" s="23">
        <f t="shared" si="12"/>
        <v>101.24625</v>
      </c>
      <c r="V80" s="220">
        <f t="shared" si="16"/>
        <v>50.470677482381348</v>
      </c>
      <c r="W80" s="220">
        <f t="shared" si="16"/>
        <v>36.953077740167402</v>
      </c>
      <c r="X80" s="220">
        <f t="shared" si="16"/>
        <v>29.610029895297725</v>
      </c>
      <c r="Y80" s="220">
        <f t="shared" si="16"/>
        <v>24.630311965552405</v>
      </c>
      <c r="Z80" s="220">
        <f t="shared" si="16"/>
        <v>20.891783864652663</v>
      </c>
      <c r="AA80" s="220">
        <f t="shared" si="16"/>
        <v>17.914163534944333</v>
      </c>
      <c r="AB80" s="220">
        <f t="shared" si="16"/>
        <v>15.448771176554555</v>
      </c>
      <c r="AC80" s="220">
        <f t="shared" si="16"/>
        <v>13.350666394623804</v>
      </c>
      <c r="AD80" s="220">
        <f t="shared" si="16"/>
        <v>11.528203785029348</v>
      </c>
      <c r="AE80" s="220">
        <f t="shared" si="16"/>
        <v>9.9198699127635699</v>
      </c>
    </row>
    <row r="81" spans="5:31" x14ac:dyDescent="0.25">
      <c r="E81" s="225">
        <v>7.6E-3</v>
      </c>
      <c r="F81" s="222">
        <f t="shared" si="15"/>
        <v>7.6</v>
      </c>
      <c r="G81" s="23">
        <f t="shared" si="13"/>
        <v>-39.003799999999998</v>
      </c>
      <c r="H81" s="23">
        <f t="shared" si="12"/>
        <v>-29.003799999999998</v>
      </c>
      <c r="I81" s="23">
        <f t="shared" si="12"/>
        <v>-19.003799999999998</v>
      </c>
      <c r="J81" s="23">
        <f t="shared" si="12"/>
        <v>-9.0037999999999982</v>
      </c>
      <c r="K81" s="23">
        <f t="shared" si="12"/>
        <v>0.99620000000000175</v>
      </c>
      <c r="L81" s="23">
        <f t="shared" si="12"/>
        <v>10.996200000000002</v>
      </c>
      <c r="M81" s="23">
        <f t="shared" si="12"/>
        <v>20.996200000000002</v>
      </c>
      <c r="N81" s="23">
        <f t="shared" si="12"/>
        <v>30.996200000000002</v>
      </c>
      <c r="O81" s="23">
        <f t="shared" si="12"/>
        <v>40.996200000000002</v>
      </c>
      <c r="P81" s="23">
        <f t="shared" si="12"/>
        <v>50.996200000000002</v>
      </c>
      <c r="Q81" s="23">
        <f t="shared" si="12"/>
        <v>60.996200000000002</v>
      </c>
      <c r="R81" s="23">
        <f t="shared" ref="H81:U99" si="17">R$4-$E81*R0()</f>
        <v>70.996200000000002</v>
      </c>
      <c r="S81" s="23">
        <f t="shared" si="17"/>
        <v>80.996200000000002</v>
      </c>
      <c r="T81" s="23">
        <f t="shared" si="17"/>
        <v>90.996200000000002</v>
      </c>
      <c r="U81" s="23">
        <f t="shared" si="17"/>
        <v>100.9962</v>
      </c>
      <c r="V81" s="220">
        <f t="shared" si="16"/>
        <v>50.747866535894033</v>
      </c>
      <c r="W81" s="220">
        <f t="shared" si="16"/>
        <v>37.203561994984696</v>
      </c>
      <c r="X81" s="220">
        <f t="shared" si="16"/>
        <v>29.846488488742381</v>
      </c>
      <c r="Y81" s="220">
        <f t="shared" si="16"/>
        <v>24.857451652818476</v>
      </c>
      <c r="Z81" s="220">
        <f t="shared" si="16"/>
        <v>21.112029696646239</v>
      </c>
      <c r="AA81" s="220">
        <f t="shared" si="16"/>
        <v>18.12898140670579</v>
      </c>
      <c r="AB81" s="220">
        <f t="shared" si="16"/>
        <v>15.659136963017708</v>
      </c>
      <c r="AC81" s="220">
        <f t="shared" si="16"/>
        <v>13.557273411377935</v>
      </c>
      <c r="AD81" s="220">
        <f t="shared" si="16"/>
        <v>11.731568275596388</v>
      </c>
      <c r="AE81" s="220">
        <f t="shared" si="16"/>
        <v>10.120390175490563</v>
      </c>
    </row>
    <row r="82" spans="5:31" x14ac:dyDescent="0.25">
      <c r="E82" s="225">
        <v>7.7000000000000002E-3</v>
      </c>
      <c r="F82" s="222">
        <f t="shared" si="15"/>
        <v>7.7</v>
      </c>
      <c r="G82" s="23">
        <f t="shared" si="13"/>
        <v>-39.25385</v>
      </c>
      <c r="H82" s="23">
        <f t="shared" si="17"/>
        <v>-29.25385</v>
      </c>
      <c r="I82" s="23">
        <f t="shared" si="17"/>
        <v>-19.25385</v>
      </c>
      <c r="J82" s="23">
        <f t="shared" si="17"/>
        <v>-9.2538499999999999</v>
      </c>
      <c r="K82" s="23">
        <f t="shared" si="17"/>
        <v>0.74615000000000009</v>
      </c>
      <c r="L82" s="23">
        <f t="shared" si="17"/>
        <v>10.74615</v>
      </c>
      <c r="M82" s="23">
        <f t="shared" si="17"/>
        <v>20.74615</v>
      </c>
      <c r="N82" s="23">
        <f t="shared" si="17"/>
        <v>30.74615</v>
      </c>
      <c r="O82" s="23">
        <f t="shared" si="17"/>
        <v>40.74615</v>
      </c>
      <c r="P82" s="23">
        <f t="shared" si="17"/>
        <v>50.74615</v>
      </c>
      <c r="Q82" s="23">
        <f t="shared" si="17"/>
        <v>60.74615</v>
      </c>
      <c r="R82" s="23">
        <f t="shared" si="17"/>
        <v>70.74615</v>
      </c>
      <c r="S82" s="23">
        <f t="shared" si="17"/>
        <v>80.74615</v>
      </c>
      <c r="T82" s="23">
        <f t="shared" si="17"/>
        <v>90.74615</v>
      </c>
      <c r="U82" s="23">
        <f t="shared" si="17"/>
        <v>100.74615</v>
      </c>
      <c r="V82" s="220">
        <f t="shared" si="16"/>
        <v>51.022091716180114</v>
      </c>
      <c r="W82" s="220">
        <f t="shared" si="16"/>
        <v>37.451329953912349</v>
      </c>
      <c r="X82" s="220">
        <f t="shared" si="16"/>
        <v>30.080361583953888</v>
      </c>
      <c r="Y82" s="220">
        <f t="shared" si="16"/>
        <v>25.082093033359079</v>
      </c>
      <c r="Z82" s="220">
        <f t="shared" si="16"/>
        <v>21.329841869175873</v>
      </c>
      <c r="AA82" s="220">
        <f t="shared" si="16"/>
        <v>18.341416605886067</v>
      </c>
      <c r="AB82" s="220">
        <f t="shared" si="16"/>
        <v>15.867161953062222</v>
      </c>
      <c r="AC82" s="220">
        <f t="shared" si="16"/>
        <v>13.761575025538846</v>
      </c>
      <c r="AD82" s="220">
        <f t="shared" si="16"/>
        <v>11.932657924701378</v>
      </c>
      <c r="AE82" s="220">
        <f t="shared" si="16"/>
        <v>10.318662425398585</v>
      </c>
    </row>
    <row r="83" spans="5:31" x14ac:dyDescent="0.25">
      <c r="E83" s="225">
        <v>7.7999999999999996E-3</v>
      </c>
      <c r="F83" s="222">
        <f t="shared" si="15"/>
        <v>7.8</v>
      </c>
      <c r="G83" s="23">
        <f t="shared" si="13"/>
        <v>-39.503900000000002</v>
      </c>
      <c r="H83" s="23">
        <f t="shared" si="17"/>
        <v>-29.503899999999998</v>
      </c>
      <c r="I83" s="23">
        <f t="shared" si="17"/>
        <v>-19.503899999999998</v>
      </c>
      <c r="J83" s="23">
        <f t="shared" si="17"/>
        <v>-9.503899999999998</v>
      </c>
      <c r="K83" s="23">
        <f t="shared" si="17"/>
        <v>0.49610000000000198</v>
      </c>
      <c r="L83" s="23">
        <f t="shared" si="17"/>
        <v>10.496100000000002</v>
      </c>
      <c r="M83" s="23">
        <f t="shared" si="17"/>
        <v>20.496100000000002</v>
      </c>
      <c r="N83" s="23">
        <f t="shared" si="17"/>
        <v>30.496100000000002</v>
      </c>
      <c r="O83" s="23">
        <f t="shared" si="17"/>
        <v>40.496099999999998</v>
      </c>
      <c r="P83" s="23">
        <f t="shared" si="17"/>
        <v>50.496099999999998</v>
      </c>
      <c r="Q83" s="23">
        <f t="shared" si="17"/>
        <v>60.496099999999998</v>
      </c>
      <c r="R83" s="23">
        <f t="shared" si="17"/>
        <v>70.496099999999998</v>
      </c>
      <c r="S83" s="23">
        <f t="shared" si="17"/>
        <v>80.496099999999998</v>
      </c>
      <c r="T83" s="23">
        <f t="shared" si="17"/>
        <v>90.496099999999998</v>
      </c>
      <c r="U83" s="23">
        <f t="shared" si="17"/>
        <v>100.4961</v>
      </c>
      <c r="V83" s="220">
        <f t="shared" si="16"/>
        <v>51.293425271621047</v>
      </c>
      <c r="W83" s="220">
        <f t="shared" si="16"/>
        <v>37.696448012904611</v>
      </c>
      <c r="X83" s="220">
        <f t="shared" si="16"/>
        <v>30.311712475026514</v>
      </c>
      <c r="Y83" s="220">
        <f t="shared" si="16"/>
        <v>25.304297329569753</v>
      </c>
      <c r="Z83" s="220">
        <f t="shared" si="16"/>
        <v>21.545280066510006</v>
      </c>
      <c r="AA83" s="220">
        <f t="shared" si="16"/>
        <v>18.551527602369379</v>
      </c>
      <c r="AB83" s="220">
        <f t="shared" si="16"/>
        <v>16.072903618333175</v>
      </c>
      <c r="AC83" s="220">
        <f t="shared" si="16"/>
        <v>13.963627864433537</v>
      </c>
      <c r="AD83" s="220">
        <f t="shared" si="16"/>
        <v>12.131528630187795</v>
      </c>
      <c r="AE83" s="220">
        <f t="shared" si="16"/>
        <v>10.514741919595036</v>
      </c>
    </row>
    <row r="84" spans="5:31" x14ac:dyDescent="0.25">
      <c r="E84" s="225">
        <v>7.9000000000000008E-3</v>
      </c>
      <c r="F84" s="222">
        <f t="shared" si="15"/>
        <v>7.9</v>
      </c>
      <c r="G84" s="23">
        <f t="shared" si="13"/>
        <v>-39.753950000000003</v>
      </c>
      <c r="H84" s="23">
        <f t="shared" si="17"/>
        <v>-29.753950000000003</v>
      </c>
      <c r="I84" s="23">
        <f t="shared" si="17"/>
        <v>-19.753950000000003</v>
      </c>
      <c r="J84" s="23">
        <f t="shared" si="17"/>
        <v>-9.7539500000000032</v>
      </c>
      <c r="K84" s="23">
        <f t="shared" si="17"/>
        <v>0.24604999999999677</v>
      </c>
      <c r="L84" s="23">
        <f t="shared" si="17"/>
        <v>10.246049999999997</v>
      </c>
      <c r="M84" s="23">
        <f t="shared" si="17"/>
        <v>20.246049999999997</v>
      </c>
      <c r="N84" s="23">
        <f t="shared" si="17"/>
        <v>30.246049999999997</v>
      </c>
      <c r="O84" s="23">
        <f t="shared" si="17"/>
        <v>40.246049999999997</v>
      </c>
      <c r="P84" s="23">
        <f t="shared" si="17"/>
        <v>50.246049999999997</v>
      </c>
      <c r="Q84" s="23">
        <f t="shared" si="17"/>
        <v>60.246049999999997</v>
      </c>
      <c r="R84" s="23">
        <f t="shared" si="17"/>
        <v>70.246049999999997</v>
      </c>
      <c r="S84" s="23">
        <f t="shared" si="17"/>
        <v>80.246049999999997</v>
      </c>
      <c r="T84" s="23">
        <f t="shared" si="17"/>
        <v>90.246049999999997</v>
      </c>
      <c r="U84" s="23">
        <f t="shared" si="17"/>
        <v>100.24605</v>
      </c>
      <c r="V84" s="220">
        <f t="shared" si="16"/>
        <v>51.561936794784657</v>
      </c>
      <c r="W84" s="220">
        <f t="shared" si="16"/>
        <v>37.938980123068454</v>
      </c>
      <c r="X84" s="220">
        <f t="shared" si="16"/>
        <v>30.540602123243076</v>
      </c>
      <c r="Y84" s="220">
        <f t="shared" si="16"/>
        <v>25.524123505950172</v>
      </c>
      <c r="Z84" s="220">
        <f t="shared" si="16"/>
        <v>21.7584017706887</v>
      </c>
      <c r="AA84" s="220">
        <f t="shared" si="16"/>
        <v>18.759370707790623</v>
      </c>
      <c r="AB84" s="220">
        <f t="shared" si="16"/>
        <v>16.276417308396681</v>
      </c>
      <c r="AC84" s="220">
        <f t="shared" si="16"/>
        <v>14.163486463916797</v>
      </c>
      <c r="AD84" s="220">
        <f t="shared" si="16"/>
        <v>12.32823422488093</v>
      </c>
      <c r="AE84" s="220">
        <f t="shared" si="16"/>
        <v>10.708681873412619</v>
      </c>
    </row>
    <row r="85" spans="5:31" x14ac:dyDescent="0.25">
      <c r="E85" s="225">
        <v>8.0000000000000002E-3</v>
      </c>
      <c r="F85" s="222">
        <f t="shared" si="15"/>
        <v>8</v>
      </c>
      <c r="G85" s="23">
        <f t="shared" si="13"/>
        <v>-40.004000000000005</v>
      </c>
      <c r="H85" s="23">
        <f t="shared" si="17"/>
        <v>-30.004000000000001</v>
      </c>
      <c r="I85" s="23">
        <f t="shared" si="17"/>
        <v>-20.004000000000001</v>
      </c>
      <c r="J85" s="23">
        <f t="shared" si="17"/>
        <v>-10.004000000000001</v>
      </c>
      <c r="K85" s="23">
        <f t="shared" si="17"/>
        <v>-4.0000000000013358E-3</v>
      </c>
      <c r="L85" s="23">
        <f t="shared" si="17"/>
        <v>9.9959999999999987</v>
      </c>
      <c r="M85" s="23">
        <f t="shared" si="17"/>
        <v>19.995999999999999</v>
      </c>
      <c r="N85" s="23">
        <f t="shared" si="17"/>
        <v>29.995999999999999</v>
      </c>
      <c r="O85" s="23">
        <f t="shared" si="17"/>
        <v>39.995999999999995</v>
      </c>
      <c r="P85" s="23">
        <f t="shared" si="17"/>
        <v>49.995999999999995</v>
      </c>
      <c r="Q85" s="23">
        <f t="shared" si="17"/>
        <v>59.995999999999995</v>
      </c>
      <c r="R85" s="23">
        <f t="shared" si="17"/>
        <v>69.995999999999995</v>
      </c>
      <c r="S85" s="23">
        <f t="shared" si="17"/>
        <v>79.995999999999995</v>
      </c>
      <c r="T85" s="23">
        <f t="shared" si="17"/>
        <v>89.995999999999995</v>
      </c>
      <c r="U85" s="23">
        <f t="shared" si="17"/>
        <v>99.995999999999995</v>
      </c>
      <c r="V85" s="220">
        <f t="shared" si="16"/>
        <v>51.827693352252822</v>
      </c>
      <c r="W85" s="220">
        <f t="shared" si="16"/>
        <v>38.178987910323215</v>
      </c>
      <c r="X85" s="220">
        <f t="shared" si="16"/>
        <v>30.767089271327212</v>
      </c>
      <c r="Y85" s="220">
        <f t="shared" si="16"/>
        <v>25.741628379737602</v>
      </c>
      <c r="Z85" s="220">
        <f t="shared" si="16"/>
        <v>21.969262369466403</v>
      </c>
      <c r="AA85" s="220">
        <f t="shared" si="16"/>
        <v>18.965000181351517</v>
      </c>
      <c r="AB85" s="220">
        <f t="shared" si="16"/>
        <v>16.477756354806342</v>
      </c>
      <c r="AC85" s="220">
        <f t="shared" si="16"/>
        <v>14.361203370956535</v>
      </c>
      <c r="AD85" s="220">
        <f t="shared" si="16"/>
        <v>12.522826577892776</v>
      </c>
      <c r="AE85" s="220">
        <f t="shared" si="16"/>
        <v>10.900533560588862</v>
      </c>
    </row>
    <row r="86" spans="5:31" x14ac:dyDescent="0.25">
      <c r="E86" s="225">
        <v>8.0999999999999996E-3</v>
      </c>
      <c r="F86" s="222">
        <f t="shared" si="15"/>
        <v>8.1</v>
      </c>
      <c r="G86" s="23">
        <f t="shared" si="13"/>
        <v>-40.254049999999999</v>
      </c>
      <c r="H86" s="23">
        <f t="shared" si="17"/>
        <v>-30.254049999999999</v>
      </c>
      <c r="I86" s="23">
        <f t="shared" si="17"/>
        <v>-20.254049999999999</v>
      </c>
      <c r="J86" s="23">
        <f t="shared" si="17"/>
        <v>-10.254049999999999</v>
      </c>
      <c r="K86" s="23">
        <f t="shared" si="17"/>
        <v>-0.25404999999999944</v>
      </c>
      <c r="L86" s="23">
        <f t="shared" si="17"/>
        <v>9.7459500000000006</v>
      </c>
      <c r="M86" s="23">
        <f t="shared" si="17"/>
        <v>19.745950000000001</v>
      </c>
      <c r="N86" s="23">
        <f t="shared" si="17"/>
        <v>29.745950000000001</v>
      </c>
      <c r="O86" s="23">
        <f t="shared" si="17"/>
        <v>39.745950000000001</v>
      </c>
      <c r="P86" s="23">
        <f t="shared" si="17"/>
        <v>49.745950000000001</v>
      </c>
      <c r="Q86" s="23">
        <f t="shared" si="17"/>
        <v>59.745950000000001</v>
      </c>
      <c r="R86" s="23">
        <f t="shared" si="17"/>
        <v>69.745949999999993</v>
      </c>
      <c r="S86" s="23">
        <f t="shared" si="17"/>
        <v>79.745949999999993</v>
      </c>
      <c r="T86" s="23">
        <f t="shared" si="17"/>
        <v>89.745949999999993</v>
      </c>
      <c r="U86" s="23">
        <f t="shared" si="17"/>
        <v>99.745949999999993</v>
      </c>
      <c r="V86" s="220">
        <f t="shared" ref="V86:AE95" si="18">Enthalpie_p_phi_x(hx_druck,V$4,$E86)-$E86*R0()</f>
        <v>52.090759606566913</v>
      </c>
      <c r="W86" s="220">
        <f t="shared" si="18"/>
        <v>38.416530787788368</v>
      </c>
      <c r="X86" s="220">
        <f t="shared" si="18"/>
        <v>30.991230550748718</v>
      </c>
      <c r="Y86" s="220">
        <f t="shared" si="18"/>
        <v>25.956866724811093</v>
      </c>
      <c r="Z86" s="220">
        <f t="shared" si="18"/>
        <v>22.177915257687438</v>
      </c>
      <c r="AA86" s="220">
        <f t="shared" si="18"/>
        <v>19.168468329197445</v>
      </c>
      <c r="AB86" s="220">
        <f t="shared" si="18"/>
        <v>16.676972168835782</v>
      </c>
      <c r="AC86" s="220">
        <f t="shared" si="18"/>
        <v>14.556829239974554</v>
      </c>
      <c r="AD86" s="220">
        <f t="shared" si="18"/>
        <v>12.715355689759456</v>
      </c>
      <c r="AE86" s="220">
        <f t="shared" si="18"/>
        <v>11.090346407346011</v>
      </c>
    </row>
    <row r="87" spans="5:31" x14ac:dyDescent="0.25">
      <c r="E87" s="225">
        <v>8.2000000000000007E-3</v>
      </c>
      <c r="F87" s="222">
        <f t="shared" si="15"/>
        <v>8.2000000000000011</v>
      </c>
      <c r="G87" s="23">
        <f t="shared" si="13"/>
        <v>-40.504100000000001</v>
      </c>
      <c r="H87" s="23">
        <f t="shared" si="17"/>
        <v>-30.504100000000001</v>
      </c>
      <c r="I87" s="23">
        <f t="shared" si="17"/>
        <v>-20.504100000000001</v>
      </c>
      <c r="J87" s="23">
        <f t="shared" si="17"/>
        <v>-10.504100000000001</v>
      </c>
      <c r="K87" s="23">
        <f t="shared" si="17"/>
        <v>-0.5041000000000011</v>
      </c>
      <c r="L87" s="23">
        <f t="shared" si="17"/>
        <v>9.4958999999999989</v>
      </c>
      <c r="M87" s="23">
        <f t="shared" si="17"/>
        <v>19.495899999999999</v>
      </c>
      <c r="N87" s="23">
        <f t="shared" si="17"/>
        <v>29.495899999999999</v>
      </c>
      <c r="O87" s="23">
        <f t="shared" si="17"/>
        <v>39.495899999999999</v>
      </c>
      <c r="P87" s="23">
        <f t="shared" si="17"/>
        <v>49.495899999999999</v>
      </c>
      <c r="Q87" s="23">
        <f t="shared" si="17"/>
        <v>59.495899999999999</v>
      </c>
      <c r="R87" s="23">
        <f t="shared" si="17"/>
        <v>69.495900000000006</v>
      </c>
      <c r="S87" s="23">
        <f t="shared" si="17"/>
        <v>79.495900000000006</v>
      </c>
      <c r="T87" s="23">
        <f t="shared" si="17"/>
        <v>89.495900000000006</v>
      </c>
      <c r="U87" s="23">
        <f t="shared" si="17"/>
        <v>99.495900000000006</v>
      </c>
      <c r="V87" s="220">
        <f t="shared" si="18"/>
        <v>52.351197930859705</v>
      </c>
      <c r="W87" s="220">
        <f t="shared" si="18"/>
        <v>38.65166606142494</v>
      </c>
      <c r="X87" s="220">
        <f t="shared" si="18"/>
        <v>31.213080582584404</v>
      </c>
      <c r="Y87" s="220">
        <f t="shared" si="18"/>
        <v>26.169891369353287</v>
      </c>
      <c r="Z87" s="220">
        <f t="shared" si="18"/>
        <v>22.384411932569414</v>
      </c>
      <c r="AA87" s="220">
        <f t="shared" si="18"/>
        <v>19.369825597821084</v>
      </c>
      <c r="AB87" s="220">
        <f t="shared" si="18"/>
        <v>16.87411433333569</v>
      </c>
      <c r="AC87" s="220">
        <f t="shared" si="18"/>
        <v>14.750412923394514</v>
      </c>
      <c r="AD87" s="220">
        <f t="shared" si="18"/>
        <v>12.905869781857561</v>
      </c>
      <c r="AE87" s="220">
        <f t="shared" si="18"/>
        <v>11.278168080812897</v>
      </c>
    </row>
    <row r="88" spans="5:31" x14ac:dyDescent="0.25">
      <c r="E88" s="225">
        <v>8.3000000000000001E-3</v>
      </c>
      <c r="F88" s="222">
        <f t="shared" si="15"/>
        <v>8.3000000000000007</v>
      </c>
      <c r="G88" s="23">
        <f t="shared" si="13"/>
        <v>-40.754149999999996</v>
      </c>
      <c r="H88" s="23">
        <f t="shared" si="17"/>
        <v>-30.754149999999999</v>
      </c>
      <c r="I88" s="23">
        <f t="shared" si="17"/>
        <v>-20.754149999999999</v>
      </c>
      <c r="J88" s="23">
        <f t="shared" si="17"/>
        <v>-10.754149999999999</v>
      </c>
      <c r="K88" s="23">
        <f t="shared" si="17"/>
        <v>-0.75414999999999921</v>
      </c>
      <c r="L88" s="23">
        <f t="shared" si="17"/>
        <v>9.2458500000000008</v>
      </c>
      <c r="M88" s="23">
        <f t="shared" si="17"/>
        <v>19.245850000000001</v>
      </c>
      <c r="N88" s="23">
        <f t="shared" si="17"/>
        <v>29.245850000000001</v>
      </c>
      <c r="O88" s="23">
        <f t="shared" si="17"/>
        <v>39.245850000000004</v>
      </c>
      <c r="P88" s="23">
        <f t="shared" si="17"/>
        <v>49.245850000000004</v>
      </c>
      <c r="Q88" s="23">
        <f t="shared" si="17"/>
        <v>59.245850000000004</v>
      </c>
      <c r="R88" s="23">
        <f t="shared" si="17"/>
        <v>69.245850000000004</v>
      </c>
      <c r="S88" s="23">
        <f t="shared" si="17"/>
        <v>79.245850000000004</v>
      </c>
      <c r="T88" s="23">
        <f t="shared" si="17"/>
        <v>89.245850000000004</v>
      </c>
      <c r="U88" s="23">
        <f t="shared" si="17"/>
        <v>99.245850000000004</v>
      </c>
      <c r="V88" s="220">
        <f t="shared" si="18"/>
        <v>52.609068516696595</v>
      </c>
      <c r="W88" s="220">
        <f t="shared" si="18"/>
        <v>38.884449029412792</v>
      </c>
      <c r="X88" s="220">
        <f t="shared" si="18"/>
        <v>31.432692072395195</v>
      </c>
      <c r="Y88" s="220">
        <f t="shared" si="18"/>
        <v>26.380753287716171</v>
      </c>
      <c r="Z88" s="220">
        <f t="shared" si="18"/>
        <v>22.588802083330275</v>
      </c>
      <c r="AA88" s="220">
        <f t="shared" si="18"/>
        <v>19.569120661920078</v>
      </c>
      <c r="AB88" s="220">
        <f t="shared" si="18"/>
        <v>17.069230689135789</v>
      </c>
      <c r="AC88" s="220">
        <f t="shared" si="18"/>
        <v>14.942001556811842</v>
      </c>
      <c r="AD88" s="220">
        <f t="shared" si="18"/>
        <v>13.094415380508831</v>
      </c>
      <c r="AE88" s="220">
        <f t="shared" si="18"/>
        <v>11.464044572193426</v>
      </c>
    </row>
    <row r="89" spans="5:31" x14ac:dyDescent="0.25">
      <c r="E89" s="225">
        <v>8.3999999999999995E-3</v>
      </c>
      <c r="F89" s="222">
        <f t="shared" si="15"/>
        <v>8.4</v>
      </c>
      <c r="G89" s="23">
        <f t="shared" si="13"/>
        <v>-41.004199999999997</v>
      </c>
      <c r="H89" s="23">
        <f t="shared" si="17"/>
        <v>-31.004199999999997</v>
      </c>
      <c r="I89" s="23">
        <f t="shared" si="17"/>
        <v>-21.004199999999997</v>
      </c>
      <c r="J89" s="23">
        <f t="shared" si="17"/>
        <v>-11.004199999999997</v>
      </c>
      <c r="K89" s="23">
        <f t="shared" si="17"/>
        <v>-1.0041999999999973</v>
      </c>
      <c r="L89" s="23">
        <f t="shared" si="17"/>
        <v>8.9958000000000027</v>
      </c>
      <c r="M89" s="23">
        <f t="shared" si="17"/>
        <v>18.995800000000003</v>
      </c>
      <c r="N89" s="23">
        <f t="shared" si="17"/>
        <v>28.995800000000003</v>
      </c>
      <c r="O89" s="23">
        <f t="shared" si="17"/>
        <v>38.995800000000003</v>
      </c>
      <c r="P89" s="23">
        <f t="shared" si="17"/>
        <v>48.995800000000003</v>
      </c>
      <c r="Q89" s="23">
        <f t="shared" si="17"/>
        <v>58.995800000000003</v>
      </c>
      <c r="R89" s="23">
        <f t="shared" si="17"/>
        <v>68.995800000000003</v>
      </c>
      <c r="S89" s="23">
        <f t="shared" si="17"/>
        <v>78.995800000000003</v>
      </c>
      <c r="T89" s="23">
        <f t="shared" si="17"/>
        <v>88.995800000000003</v>
      </c>
      <c r="U89" s="23">
        <f t="shared" si="17"/>
        <v>98.995800000000003</v>
      </c>
      <c r="V89" s="220">
        <f t="shared" si="18"/>
        <v>52.864429475604581</v>
      </c>
      <c r="W89" s="220">
        <f t="shared" si="18"/>
        <v>39.114933075705707</v>
      </c>
      <c r="X89" s="220">
        <f t="shared" si="18"/>
        <v>31.650115899541802</v>
      </c>
      <c r="Y89" s="220">
        <f t="shared" si="18"/>
        <v>26.589501686900142</v>
      </c>
      <c r="Z89" s="220">
        <f t="shared" si="18"/>
        <v>22.791133675558427</v>
      </c>
      <c r="AA89" s="220">
        <f t="shared" si="18"/>
        <v>19.766400507100464</v>
      </c>
      <c r="AB89" s="220">
        <f t="shared" si="18"/>
        <v>17.262367416377188</v>
      </c>
      <c r="AC89" s="220">
        <f t="shared" si="18"/>
        <v>15.131640639165525</v>
      </c>
      <c r="AD89" s="220">
        <f t="shared" si="18"/>
        <v>13.281037396148669</v>
      </c>
      <c r="AE89" s="220">
        <f t="shared" si="18"/>
        <v>11.648020275053412</v>
      </c>
    </row>
    <row r="90" spans="5:31" x14ac:dyDescent="0.25">
      <c r="E90" s="225">
        <v>8.5000000000000006E-3</v>
      </c>
      <c r="F90" s="222">
        <f t="shared" si="15"/>
        <v>8.5</v>
      </c>
      <c r="G90" s="23">
        <f t="shared" si="13"/>
        <v>-41.254249999999999</v>
      </c>
      <c r="H90" s="23">
        <f t="shared" si="17"/>
        <v>-31.254250000000003</v>
      </c>
      <c r="I90" s="23">
        <f t="shared" si="17"/>
        <v>-21.254250000000003</v>
      </c>
      <c r="J90" s="23">
        <f t="shared" si="17"/>
        <v>-11.254250000000003</v>
      </c>
      <c r="K90" s="23">
        <f t="shared" si="17"/>
        <v>-1.2542500000000025</v>
      </c>
      <c r="L90" s="23">
        <f t="shared" si="17"/>
        <v>8.7457499999999975</v>
      </c>
      <c r="M90" s="23">
        <f t="shared" si="17"/>
        <v>18.745749999999997</v>
      </c>
      <c r="N90" s="23">
        <f t="shared" si="17"/>
        <v>28.745749999999997</v>
      </c>
      <c r="O90" s="23">
        <f t="shared" si="17"/>
        <v>38.745750000000001</v>
      </c>
      <c r="P90" s="23">
        <f t="shared" si="17"/>
        <v>48.745750000000001</v>
      </c>
      <c r="Q90" s="23">
        <f t="shared" si="17"/>
        <v>58.745750000000001</v>
      </c>
      <c r="R90" s="23">
        <f t="shared" si="17"/>
        <v>68.745750000000001</v>
      </c>
      <c r="S90" s="23">
        <f t="shared" si="17"/>
        <v>78.745750000000001</v>
      </c>
      <c r="T90" s="23">
        <f t="shared" si="17"/>
        <v>88.745750000000001</v>
      </c>
      <c r="U90" s="23">
        <f t="shared" si="17"/>
        <v>98.745750000000001</v>
      </c>
      <c r="V90" s="220">
        <f t="shared" si="18"/>
        <v>53.117336934729096</v>
      </c>
      <c r="W90" s="220">
        <f t="shared" si="18"/>
        <v>39.343169758170376</v>
      </c>
      <c r="X90" s="220">
        <f t="shared" si="18"/>
        <v>31.865401201327142</v>
      </c>
      <c r="Y90" s="220">
        <f t="shared" si="18"/>
        <v>26.796184088022148</v>
      </c>
      <c r="Z90" s="220">
        <f t="shared" si="18"/>
        <v>22.991453030693034</v>
      </c>
      <c r="AA90" s="220">
        <f t="shared" si="18"/>
        <v>19.961710507785877</v>
      </c>
      <c r="AB90" s="220">
        <f t="shared" si="18"/>
        <v>17.453569111128981</v>
      </c>
      <c r="AC90" s="220">
        <f t="shared" si="18"/>
        <v>15.319374108260707</v>
      </c>
      <c r="AD90" s="220">
        <f t="shared" si="18"/>
        <v>13.465779197903007</v>
      </c>
      <c r="AE90" s="220">
        <f t="shared" si="18"/>
        <v>11.830138059066467</v>
      </c>
    </row>
    <row r="91" spans="5:31" x14ac:dyDescent="0.25">
      <c r="E91" s="225">
        <v>8.6E-3</v>
      </c>
      <c r="F91" s="222">
        <f t="shared" si="15"/>
        <v>8.6</v>
      </c>
      <c r="G91" s="23">
        <f t="shared" si="13"/>
        <v>-41.504300000000001</v>
      </c>
      <c r="H91" s="23">
        <f t="shared" si="17"/>
        <v>-31.504300000000001</v>
      </c>
      <c r="I91" s="23">
        <f t="shared" si="17"/>
        <v>-21.504300000000001</v>
      </c>
      <c r="J91" s="23">
        <f t="shared" si="17"/>
        <v>-11.504300000000001</v>
      </c>
      <c r="K91" s="23">
        <f t="shared" si="17"/>
        <v>-1.5043000000000006</v>
      </c>
      <c r="L91" s="23">
        <f t="shared" si="17"/>
        <v>8.4956999999999994</v>
      </c>
      <c r="M91" s="23">
        <f t="shared" si="17"/>
        <v>18.495699999999999</v>
      </c>
      <c r="N91" s="23">
        <f t="shared" si="17"/>
        <v>28.495699999999999</v>
      </c>
      <c r="O91" s="23">
        <f t="shared" si="17"/>
        <v>38.495699999999999</v>
      </c>
      <c r="P91" s="23">
        <f t="shared" si="17"/>
        <v>48.495699999999999</v>
      </c>
      <c r="Q91" s="23">
        <f t="shared" si="17"/>
        <v>58.495699999999999</v>
      </c>
      <c r="R91" s="23">
        <f t="shared" si="17"/>
        <v>68.495699999999999</v>
      </c>
      <c r="S91" s="23">
        <f t="shared" si="17"/>
        <v>78.495699999999999</v>
      </c>
      <c r="T91" s="23">
        <f t="shared" si="17"/>
        <v>88.495699999999999</v>
      </c>
      <c r="U91" s="23">
        <f t="shared" si="17"/>
        <v>98.495699999999999</v>
      </c>
      <c r="V91" s="220">
        <f t="shared" si="18"/>
        <v>53.367845127022932</v>
      </c>
      <c r="W91" s="220">
        <f t="shared" si="18"/>
        <v>39.569208891682692</v>
      </c>
      <c r="X91" s="220">
        <f t="shared" si="18"/>
        <v>32.078595452322048</v>
      </c>
      <c r="Y91" s="220">
        <f t="shared" si="18"/>
        <v>27.000846403118842</v>
      </c>
      <c r="Z91" s="220">
        <f t="shared" si="18"/>
        <v>23.1898049009517</v>
      </c>
      <c r="AA91" s="220">
        <f t="shared" si="18"/>
        <v>20.155094500663182</v>
      </c>
      <c r="AB91" s="220">
        <f t="shared" si="18"/>
        <v>17.642878857614683</v>
      </c>
      <c r="AC91" s="220">
        <f t="shared" si="18"/>
        <v>15.505244411963247</v>
      </c>
      <c r="AD91" s="220">
        <f t="shared" si="18"/>
        <v>13.648682683890748</v>
      </c>
      <c r="AE91" s="220">
        <f t="shared" si="18"/>
        <v>12.010439339532255</v>
      </c>
    </row>
    <row r="92" spans="5:31" x14ac:dyDescent="0.25">
      <c r="E92" s="225">
        <v>8.6999999999999994E-3</v>
      </c>
      <c r="F92" s="222">
        <f t="shared" si="15"/>
        <v>8.6999999999999993</v>
      </c>
      <c r="G92" s="23">
        <f t="shared" si="13"/>
        <v>-41.754350000000002</v>
      </c>
      <c r="H92" s="23">
        <f t="shared" si="17"/>
        <v>-31.754349999999999</v>
      </c>
      <c r="I92" s="23">
        <f t="shared" si="17"/>
        <v>-21.754349999999999</v>
      </c>
      <c r="J92" s="23">
        <f t="shared" si="17"/>
        <v>-11.754349999999999</v>
      </c>
      <c r="K92" s="23">
        <f t="shared" si="17"/>
        <v>-1.7543499999999987</v>
      </c>
      <c r="L92" s="23">
        <f t="shared" si="17"/>
        <v>8.2456500000000013</v>
      </c>
      <c r="M92" s="23">
        <f t="shared" si="17"/>
        <v>18.245650000000001</v>
      </c>
      <c r="N92" s="23">
        <f t="shared" si="17"/>
        <v>28.245650000000001</v>
      </c>
      <c r="O92" s="23">
        <f t="shared" si="17"/>
        <v>38.245649999999998</v>
      </c>
      <c r="P92" s="23">
        <f t="shared" si="17"/>
        <v>48.245649999999998</v>
      </c>
      <c r="Q92" s="23">
        <f t="shared" si="17"/>
        <v>58.245649999999998</v>
      </c>
      <c r="R92" s="23">
        <f t="shared" si="17"/>
        <v>68.245649999999998</v>
      </c>
      <c r="S92" s="23">
        <f t="shared" si="17"/>
        <v>78.245649999999998</v>
      </c>
      <c r="T92" s="23">
        <f t="shared" si="17"/>
        <v>88.245649999999998</v>
      </c>
      <c r="U92" s="23">
        <f t="shared" si="17"/>
        <v>98.245649999999998</v>
      </c>
      <c r="V92" s="220">
        <f t="shared" si="18"/>
        <v>53.616006476339834</v>
      </c>
      <c r="W92" s="220">
        <f t="shared" si="18"/>
        <v>39.793098626524682</v>
      </c>
      <c r="X92" s="220">
        <f t="shared" si="18"/>
        <v>32.289744539202772</v>
      </c>
      <c r="Y92" s="220">
        <f t="shared" si="18"/>
        <v>27.203533007602477</v>
      </c>
      <c r="Z92" s="220">
        <f t="shared" si="18"/>
        <v>23.386232540016113</v>
      </c>
      <c r="AA92" s="220">
        <f t="shared" si="18"/>
        <v>20.346594853969055</v>
      </c>
      <c r="AB92" s="220">
        <f t="shared" si="18"/>
        <v>17.830338296347879</v>
      </c>
      <c r="AC92" s="220">
        <f t="shared" si="18"/>
        <v>15.689292575361247</v>
      </c>
      <c r="AD92" s="220">
        <f t="shared" si="18"/>
        <v>13.829788347543268</v>
      </c>
      <c r="AE92" s="220">
        <f t="shared" si="18"/>
        <v>12.188964142956198</v>
      </c>
    </row>
    <row r="93" spans="5:31" x14ac:dyDescent="0.25">
      <c r="E93" s="225">
        <v>8.8000000000000005E-3</v>
      </c>
      <c r="F93" s="222">
        <f t="shared" si="15"/>
        <v>8.8000000000000007</v>
      </c>
      <c r="G93" s="23">
        <f t="shared" si="13"/>
        <v>-42.004400000000004</v>
      </c>
      <c r="H93" s="23">
        <f t="shared" si="17"/>
        <v>-32.004400000000004</v>
      </c>
      <c r="I93" s="23">
        <f t="shared" si="17"/>
        <v>-22.0044</v>
      </c>
      <c r="J93" s="23">
        <f t="shared" si="17"/>
        <v>-12.0044</v>
      </c>
      <c r="K93" s="23">
        <f t="shared" si="17"/>
        <v>-2.0044000000000004</v>
      </c>
      <c r="L93" s="23">
        <f t="shared" si="17"/>
        <v>7.9955999999999996</v>
      </c>
      <c r="M93" s="23">
        <f t="shared" si="17"/>
        <v>17.9956</v>
      </c>
      <c r="N93" s="23">
        <f t="shared" si="17"/>
        <v>27.9956</v>
      </c>
      <c r="O93" s="23">
        <f t="shared" si="17"/>
        <v>37.995599999999996</v>
      </c>
      <c r="P93" s="23">
        <f t="shared" si="17"/>
        <v>47.995599999999996</v>
      </c>
      <c r="Q93" s="23">
        <f t="shared" si="17"/>
        <v>57.995599999999996</v>
      </c>
      <c r="R93" s="23">
        <f t="shared" si="17"/>
        <v>67.995599999999996</v>
      </c>
      <c r="S93" s="23">
        <f t="shared" si="17"/>
        <v>77.995599999999996</v>
      </c>
      <c r="T93" s="23">
        <f t="shared" si="17"/>
        <v>87.995599999999996</v>
      </c>
      <c r="U93" s="23">
        <f t="shared" si="17"/>
        <v>97.995599999999996</v>
      </c>
      <c r="V93" s="220">
        <f t="shared" si="18"/>
        <v>53.861871677775241</v>
      </c>
      <c r="W93" s="220">
        <f t="shared" si="18"/>
        <v>40.014885522398785</v>
      </c>
      <c r="X93" s="220">
        <f t="shared" si="18"/>
        <v>32.498892831402472</v>
      </c>
      <c r="Y93" s="220">
        <f t="shared" si="18"/>
        <v>27.404286808662707</v>
      </c>
      <c r="Z93" s="220">
        <f t="shared" si="18"/>
        <v>23.580777769761514</v>
      </c>
      <c r="AA93" s="220">
        <f t="shared" si="18"/>
        <v>20.536252532897937</v>
      </c>
      <c r="AB93" s="220">
        <f t="shared" si="18"/>
        <v>18.015987688452956</v>
      </c>
      <c r="AC93" s="220">
        <f t="shared" si="18"/>
        <v>15.871558264165689</v>
      </c>
      <c r="AD93" s="220">
        <f t="shared" si="18"/>
        <v>14.009135340209578</v>
      </c>
      <c r="AE93" s="220">
        <f t="shared" si="18"/>
        <v>12.365751168955558</v>
      </c>
    </row>
    <row r="94" spans="5:31" x14ac:dyDescent="0.25">
      <c r="E94" s="225">
        <v>8.8999999999999999E-3</v>
      </c>
      <c r="F94" s="222">
        <f t="shared" si="15"/>
        <v>8.9</v>
      </c>
      <c r="G94" s="23">
        <f t="shared" si="13"/>
        <v>-42.254449999999999</v>
      </c>
      <c r="H94" s="23">
        <f t="shared" si="17"/>
        <v>-32.254449999999999</v>
      </c>
      <c r="I94" s="23">
        <f t="shared" si="17"/>
        <v>-22.254449999999999</v>
      </c>
      <c r="J94" s="23">
        <f t="shared" si="17"/>
        <v>-12.254449999999999</v>
      </c>
      <c r="K94" s="23">
        <f t="shared" si="17"/>
        <v>-2.2544499999999985</v>
      </c>
      <c r="L94" s="23">
        <f t="shared" si="17"/>
        <v>7.7455500000000015</v>
      </c>
      <c r="M94" s="23">
        <f t="shared" si="17"/>
        <v>17.745550000000001</v>
      </c>
      <c r="N94" s="23">
        <f t="shared" si="17"/>
        <v>27.745550000000001</v>
      </c>
      <c r="O94" s="23">
        <f t="shared" si="17"/>
        <v>37.745550000000001</v>
      </c>
      <c r="P94" s="23">
        <f t="shared" si="17"/>
        <v>47.745550000000001</v>
      </c>
      <c r="Q94" s="23">
        <f t="shared" si="17"/>
        <v>57.745550000000001</v>
      </c>
      <c r="R94" s="23">
        <f t="shared" si="17"/>
        <v>67.745550000000009</v>
      </c>
      <c r="S94" s="23">
        <f t="shared" si="17"/>
        <v>77.745550000000009</v>
      </c>
      <c r="T94" s="23">
        <f t="shared" si="17"/>
        <v>87.745550000000009</v>
      </c>
      <c r="U94" s="23">
        <f t="shared" si="17"/>
        <v>97.745550000000009</v>
      </c>
      <c r="V94" s="220">
        <f t="shared" si="18"/>
        <v>54.105489773570774</v>
      </c>
      <c r="W94" s="220">
        <f t="shared" si="18"/>
        <v>40.234614618351223</v>
      </c>
      <c r="X94" s="220">
        <f t="shared" si="18"/>
        <v>32.706083247855716</v>
      </c>
      <c r="Y94" s="220">
        <f t="shared" si="18"/>
        <v>27.603149309884387</v>
      </c>
      <c r="Z94" s="220">
        <f t="shared" si="18"/>
        <v>23.773481043293685</v>
      </c>
      <c r="AA94" s="220">
        <f t="shared" si="18"/>
        <v>20.724107161389661</v>
      </c>
      <c r="AB94" s="220">
        <f t="shared" si="18"/>
        <v>18.199865976425265</v>
      </c>
      <c r="AC94" s="220">
        <f t="shared" si="18"/>
        <v>16.052079844600833</v>
      </c>
      <c r="AD94" s="220">
        <f t="shared" si="18"/>
        <v>14.186761530294923</v>
      </c>
      <c r="AE94" s="220">
        <f t="shared" si="18"/>
        <v>12.540837848737432</v>
      </c>
    </row>
    <row r="95" spans="5:31" x14ac:dyDescent="0.25">
      <c r="E95" s="225">
        <v>8.9999999999999993E-3</v>
      </c>
      <c r="F95" s="222">
        <f t="shared" si="15"/>
        <v>9</v>
      </c>
      <c r="G95" s="23">
        <f t="shared" si="13"/>
        <v>-42.504499999999993</v>
      </c>
      <c r="H95" s="23">
        <f t="shared" si="17"/>
        <v>-32.504499999999993</v>
      </c>
      <c r="I95" s="23">
        <f t="shared" si="17"/>
        <v>-22.504499999999997</v>
      </c>
      <c r="J95" s="23">
        <f t="shared" si="17"/>
        <v>-12.504499999999997</v>
      </c>
      <c r="K95" s="23">
        <f t="shared" si="17"/>
        <v>-2.5044999999999966</v>
      </c>
      <c r="L95" s="23">
        <f t="shared" si="17"/>
        <v>7.4955000000000034</v>
      </c>
      <c r="M95" s="23">
        <f t="shared" si="17"/>
        <v>17.495500000000003</v>
      </c>
      <c r="N95" s="23">
        <f t="shared" si="17"/>
        <v>27.495500000000003</v>
      </c>
      <c r="O95" s="23">
        <f t="shared" si="17"/>
        <v>37.495500000000007</v>
      </c>
      <c r="P95" s="23">
        <f t="shared" si="17"/>
        <v>47.495500000000007</v>
      </c>
      <c r="Q95" s="23">
        <f t="shared" si="17"/>
        <v>57.495500000000007</v>
      </c>
      <c r="R95" s="23">
        <f t="shared" si="17"/>
        <v>67.495500000000007</v>
      </c>
      <c r="S95" s="23">
        <f t="shared" si="17"/>
        <v>77.495500000000007</v>
      </c>
      <c r="T95" s="23">
        <f t="shared" si="17"/>
        <v>87.495500000000007</v>
      </c>
      <c r="U95" s="23">
        <f t="shared" si="17"/>
        <v>97.495500000000007</v>
      </c>
      <c r="V95" s="220">
        <f t="shared" si="18"/>
        <v>54.346908224874085</v>
      </c>
      <c r="W95" s="220">
        <f t="shared" si="18"/>
        <v>40.452329498873652</v>
      </c>
      <c r="X95" s="220">
        <f t="shared" si="18"/>
        <v>32.911357320093146</v>
      </c>
      <c r="Y95" s="220">
        <f t="shared" si="18"/>
        <v>27.800160672330644</v>
      </c>
      <c r="Z95" s="220">
        <f t="shared" si="18"/>
        <v>23.964381504536799</v>
      </c>
      <c r="AA95" s="220">
        <f t="shared" si="18"/>
        <v>20.910197080535934</v>
      </c>
      <c r="AB95" s="220">
        <f t="shared" si="18"/>
        <v>18.382010841565386</v>
      </c>
      <c r="AC95" s="220">
        <f t="shared" si="18"/>
        <v>16.230894440015891</v>
      </c>
      <c r="AD95" s="220">
        <f t="shared" si="18"/>
        <v>14.362703559161385</v>
      </c>
      <c r="AE95" s="220">
        <f t="shared" si="18"/>
        <v>12.714260400374346</v>
      </c>
    </row>
    <row r="96" spans="5:31" x14ac:dyDescent="0.25">
      <c r="E96" s="225">
        <v>9.1000000000000004E-3</v>
      </c>
      <c r="F96" s="222">
        <f t="shared" si="15"/>
        <v>9.1</v>
      </c>
      <c r="G96" s="23">
        <f t="shared" si="13"/>
        <v>-42.754550000000002</v>
      </c>
      <c r="H96" s="23">
        <f t="shared" si="17"/>
        <v>-32.754550000000002</v>
      </c>
      <c r="I96" s="23">
        <f t="shared" si="17"/>
        <v>-22.754550000000002</v>
      </c>
      <c r="J96" s="23">
        <f t="shared" si="17"/>
        <v>-12.754550000000002</v>
      </c>
      <c r="K96" s="23">
        <f t="shared" si="17"/>
        <v>-2.7545500000000018</v>
      </c>
      <c r="L96" s="23">
        <f t="shared" si="17"/>
        <v>7.2454499999999982</v>
      </c>
      <c r="M96" s="23">
        <f t="shared" si="17"/>
        <v>17.245449999999998</v>
      </c>
      <c r="N96" s="23">
        <f t="shared" si="17"/>
        <v>27.245449999999998</v>
      </c>
      <c r="O96" s="23">
        <f t="shared" si="17"/>
        <v>37.245449999999998</v>
      </c>
      <c r="P96" s="23">
        <f t="shared" si="17"/>
        <v>47.245449999999998</v>
      </c>
      <c r="Q96" s="23">
        <f t="shared" si="17"/>
        <v>57.245449999999998</v>
      </c>
      <c r="R96" s="23">
        <f t="shared" si="17"/>
        <v>67.245450000000005</v>
      </c>
      <c r="S96" s="23">
        <f t="shared" si="17"/>
        <v>77.245450000000005</v>
      </c>
      <c r="T96" s="23">
        <f t="shared" si="17"/>
        <v>87.245450000000005</v>
      </c>
      <c r="U96" s="23">
        <f t="shared" si="17"/>
        <v>97.245450000000005</v>
      </c>
      <c r="V96" s="220">
        <f t="shared" ref="V96:AE105" si="19">Enthalpie_p_phi_x(hx_druck,V$4,$E96)-$E96*R0()</f>
        <v>54.586172979623875</v>
      </c>
      <c r="W96" s="220">
        <f t="shared" si="19"/>
        <v>40.668072356432354</v>
      </c>
      <c r="X96" s="220">
        <f t="shared" si="19"/>
        <v>33.11475525192423</v>
      </c>
      <c r="Y96" s="220">
        <f t="shared" si="19"/>
        <v>27.995359772321613</v>
      </c>
      <c r="Z96" s="220">
        <f t="shared" si="19"/>
        <v>24.153517044596903</v>
      </c>
      <c r="AA96" s="220">
        <f t="shared" si="19"/>
        <v>21.094559403825293</v>
      </c>
      <c r="AB96" s="220">
        <f t="shared" si="19"/>
        <v>18.562458758304395</v>
      </c>
      <c r="AC96" s="220">
        <f t="shared" si="19"/>
        <v>16.408037984431793</v>
      </c>
      <c r="AD96" s="220">
        <f t="shared" si="19"/>
        <v>14.536996894001575</v>
      </c>
      <c r="AE96" s="220">
        <f t="shared" si="19"/>
        <v>12.886053881086688</v>
      </c>
    </row>
    <row r="97" spans="5:31" x14ac:dyDescent="0.25">
      <c r="E97" s="225">
        <v>9.1999999999999998E-3</v>
      </c>
      <c r="F97" s="222">
        <f t="shared" si="15"/>
        <v>9.1999999999999993</v>
      </c>
      <c r="G97" s="23">
        <f t="shared" si="13"/>
        <v>-43.004599999999996</v>
      </c>
      <c r="H97" s="23">
        <f t="shared" si="17"/>
        <v>-33.004599999999996</v>
      </c>
      <c r="I97" s="23">
        <f t="shared" si="17"/>
        <v>-23.0046</v>
      </c>
      <c r="J97" s="23">
        <f t="shared" si="17"/>
        <v>-13.0046</v>
      </c>
      <c r="K97" s="23">
        <f t="shared" si="17"/>
        <v>-3.0045999999999999</v>
      </c>
      <c r="L97" s="23">
        <f t="shared" si="17"/>
        <v>6.9954000000000001</v>
      </c>
      <c r="M97" s="23">
        <f t="shared" si="17"/>
        <v>16.9954</v>
      </c>
      <c r="N97" s="23">
        <f t="shared" si="17"/>
        <v>26.9954</v>
      </c>
      <c r="O97" s="23">
        <f t="shared" si="17"/>
        <v>36.995400000000004</v>
      </c>
      <c r="P97" s="23">
        <f t="shared" si="17"/>
        <v>46.995400000000004</v>
      </c>
      <c r="Q97" s="23">
        <f t="shared" si="17"/>
        <v>56.995400000000004</v>
      </c>
      <c r="R97" s="23">
        <f t="shared" si="17"/>
        <v>66.995400000000004</v>
      </c>
      <c r="S97" s="23">
        <f t="shared" si="17"/>
        <v>76.995400000000004</v>
      </c>
      <c r="T97" s="23">
        <f t="shared" si="17"/>
        <v>86.995400000000004</v>
      </c>
      <c r="U97" s="23">
        <f t="shared" si="17"/>
        <v>96.995400000000004</v>
      </c>
      <c r="V97" s="220">
        <f t="shared" si="19"/>
        <v>54.823328536809314</v>
      </c>
      <c r="W97" s="220">
        <f t="shared" si="19"/>
        <v>40.881884050654463</v>
      </c>
      <c r="X97" s="220">
        <f t="shared" si="19"/>
        <v>33.316315975927864</v>
      </c>
      <c r="Y97" s="220">
        <f t="shared" si="19"/>
        <v>28.18878425612176</v>
      </c>
      <c r="Z97" s="220">
        <f t="shared" si="19"/>
        <v>24.340924355108914</v>
      </c>
      <c r="AA97" s="220">
        <f t="shared" si="19"/>
        <v>21.277230069431159</v>
      </c>
      <c r="AB97" s="220">
        <f t="shared" si="19"/>
        <v>18.741245045620499</v>
      </c>
      <c r="AC97" s="220">
        <f t="shared" si="19"/>
        <v>16.583545273220476</v>
      </c>
      <c r="AD97" s="220">
        <f t="shared" si="19"/>
        <v>14.709675877880624</v>
      </c>
      <c r="AE97" s="220">
        <f t="shared" si="19"/>
        <v>13.056252236724628</v>
      </c>
    </row>
    <row r="98" spans="5:31" x14ac:dyDescent="0.25">
      <c r="E98" s="225">
        <v>9.2999999999999992E-3</v>
      </c>
      <c r="F98" s="222">
        <f t="shared" si="15"/>
        <v>9.2999999999999989</v>
      </c>
      <c r="G98" s="23">
        <f t="shared" si="13"/>
        <v>-43.254649999999998</v>
      </c>
      <c r="H98" s="23">
        <f t="shared" si="17"/>
        <v>-33.254649999999998</v>
      </c>
      <c r="I98" s="23">
        <f t="shared" si="17"/>
        <v>-23.254649999999998</v>
      </c>
      <c r="J98" s="23">
        <f t="shared" si="17"/>
        <v>-13.254649999999998</v>
      </c>
      <c r="K98" s="23">
        <f t="shared" si="17"/>
        <v>-3.254649999999998</v>
      </c>
      <c r="L98" s="23">
        <f t="shared" si="17"/>
        <v>6.745350000000002</v>
      </c>
      <c r="M98" s="23">
        <f t="shared" si="17"/>
        <v>16.745350000000002</v>
      </c>
      <c r="N98" s="23">
        <f t="shared" si="17"/>
        <v>26.745350000000002</v>
      </c>
      <c r="O98" s="23">
        <f t="shared" si="17"/>
        <v>36.745350000000002</v>
      </c>
      <c r="P98" s="23">
        <f t="shared" si="17"/>
        <v>46.745350000000002</v>
      </c>
      <c r="Q98" s="23">
        <f t="shared" si="17"/>
        <v>56.745350000000002</v>
      </c>
      <c r="R98" s="23">
        <f t="shared" si="17"/>
        <v>66.745350000000002</v>
      </c>
      <c r="S98" s="23">
        <f t="shared" si="17"/>
        <v>76.745350000000002</v>
      </c>
      <c r="T98" s="23">
        <f t="shared" si="17"/>
        <v>86.745350000000002</v>
      </c>
      <c r="U98" s="23">
        <f t="shared" si="17"/>
        <v>96.745350000000002</v>
      </c>
      <c r="V98" s="220">
        <f t="shared" si="19"/>
        <v>55.058418007334836</v>
      </c>
      <c r="W98" s="220">
        <f t="shared" si="19"/>
        <v>41.093804164384693</v>
      </c>
      <c r="X98" s="220">
        <f t="shared" si="19"/>
        <v>33.516077206954229</v>
      </c>
      <c r="Y98" s="220">
        <f t="shared" si="19"/>
        <v>28.38047059173276</v>
      </c>
      <c r="Z98" s="220">
        <f t="shared" si="19"/>
        <v>24.526638978759415</v>
      </c>
      <c r="AA98" s="220">
        <f t="shared" si="19"/>
        <v>21.45824388973088</v>
      </c>
      <c r="AB98" s="220">
        <f t="shared" si="19"/>
        <v>18.918403915732682</v>
      </c>
      <c r="AC98" s="220">
        <f t="shared" si="19"/>
        <v>16.75745001109987</v>
      </c>
      <c r="AD98" s="220">
        <f t="shared" si="19"/>
        <v>14.880773777127253</v>
      </c>
      <c r="AE98" s="220">
        <f t="shared" si="19"/>
        <v>13.224888348628504</v>
      </c>
    </row>
    <row r="99" spans="5:31" x14ac:dyDescent="0.25">
      <c r="E99" s="225">
        <v>9.4000000000000004E-3</v>
      </c>
      <c r="F99" s="222">
        <f t="shared" si="15"/>
        <v>9.4</v>
      </c>
      <c r="G99" s="23">
        <f t="shared" si="13"/>
        <v>-43.5047</v>
      </c>
      <c r="H99" s="23">
        <f t="shared" si="17"/>
        <v>-33.5047</v>
      </c>
      <c r="I99" s="23">
        <f t="shared" si="17"/>
        <v>-23.5047</v>
      </c>
      <c r="J99" s="23">
        <f t="shared" si="17"/>
        <v>-13.5047</v>
      </c>
      <c r="K99" s="23">
        <f t="shared" si="17"/>
        <v>-3.5046999999999997</v>
      </c>
      <c r="L99" s="23">
        <f t="shared" si="17"/>
        <v>6.4953000000000003</v>
      </c>
      <c r="M99" s="23">
        <f t="shared" si="17"/>
        <v>16.4953</v>
      </c>
      <c r="N99" s="23">
        <f t="shared" si="17"/>
        <v>26.4953</v>
      </c>
      <c r="O99" s="23">
        <f t="shared" si="17"/>
        <v>36.4953</v>
      </c>
      <c r="P99" s="23">
        <f t="shared" si="17"/>
        <v>46.4953</v>
      </c>
      <c r="Q99" s="23">
        <f t="shared" si="17"/>
        <v>56.4953</v>
      </c>
      <c r="R99" s="23">
        <f t="shared" si="17"/>
        <v>66.4953</v>
      </c>
      <c r="S99" s="23">
        <f t="shared" si="17"/>
        <v>76.4953</v>
      </c>
      <c r="T99" s="23">
        <f t="shared" si="17"/>
        <v>86.4953</v>
      </c>
      <c r="U99" s="23">
        <f t="shared" ref="U99:U162" si="20">U$4-$E99*R0()</f>
        <v>96.4953</v>
      </c>
      <c r="V99" s="220">
        <f t="shared" si="19"/>
        <v>55.291483171703803</v>
      </c>
      <c r="W99" s="220">
        <f t="shared" si="19"/>
        <v>41.303871056809498</v>
      </c>
      <c r="X99" s="220">
        <f t="shared" si="19"/>
        <v>33.714075492826296</v>
      </c>
      <c r="Y99" s="220">
        <f t="shared" si="19"/>
        <v>28.570454117974698</v>
      </c>
      <c r="Z99" s="220">
        <f t="shared" si="19"/>
        <v>24.710695357163459</v>
      </c>
      <c r="AA99" s="220">
        <f t="shared" si="19"/>
        <v>21.63763459823096</v>
      </c>
      <c r="AB99" s="220">
        <f t="shared" si="19"/>
        <v>19.093968520243095</v>
      </c>
      <c r="AC99" s="220">
        <f t="shared" si="19"/>
        <v>16.929784857613868</v>
      </c>
      <c r="AD99" s="220">
        <f t="shared" si="19"/>
        <v>15.050322826241107</v>
      </c>
      <c r="AE99" s="220">
        <f t="shared" si="19"/>
        <v>13.391994078032859</v>
      </c>
    </row>
    <row r="100" spans="5:31" x14ac:dyDescent="0.25">
      <c r="E100" s="225">
        <v>9.4999999999999998E-3</v>
      </c>
      <c r="F100" s="222">
        <f t="shared" si="15"/>
        <v>9.5</v>
      </c>
      <c r="G100" s="23">
        <f t="shared" si="13"/>
        <v>-43.754750000000001</v>
      </c>
      <c r="H100" s="23">
        <f t="shared" si="13"/>
        <v>-33.754750000000001</v>
      </c>
      <c r="I100" s="23">
        <f t="shared" si="13"/>
        <v>-23.754749999999998</v>
      </c>
      <c r="J100" s="23">
        <f t="shared" si="13"/>
        <v>-13.754749999999998</v>
      </c>
      <c r="K100" s="23">
        <f t="shared" si="13"/>
        <v>-3.7547499999999978</v>
      </c>
      <c r="L100" s="23">
        <f t="shared" si="13"/>
        <v>6.2452500000000022</v>
      </c>
      <c r="M100" s="23">
        <f t="shared" si="13"/>
        <v>16.245250000000002</v>
      </c>
      <c r="N100" s="23">
        <f t="shared" si="13"/>
        <v>26.245250000000002</v>
      </c>
      <c r="O100" s="23">
        <f t="shared" si="13"/>
        <v>36.245249999999999</v>
      </c>
      <c r="P100" s="23">
        <f t="shared" si="13"/>
        <v>46.245249999999999</v>
      </c>
      <c r="Q100" s="23">
        <f t="shared" si="13"/>
        <v>56.245249999999999</v>
      </c>
      <c r="R100" s="23">
        <f t="shared" si="13"/>
        <v>66.245249999999999</v>
      </c>
      <c r="S100" s="23">
        <f t="shared" si="13"/>
        <v>76.245249999999999</v>
      </c>
      <c r="T100" s="23">
        <f t="shared" si="13"/>
        <v>86.245249999999999</v>
      </c>
      <c r="U100" s="23">
        <f t="shared" si="20"/>
        <v>96.245249999999999</v>
      </c>
      <c r="V100" s="220">
        <f t="shared" si="19"/>
        <v>55.522564534719407</v>
      </c>
      <c r="W100" s="220">
        <f t="shared" si="19"/>
        <v>41.512121913831592</v>
      </c>
      <c r="X100" s="220">
        <f t="shared" si="19"/>
        <v>33.910346262415814</v>
      </c>
      <c r="Y100" s="220">
        <f t="shared" si="19"/>
        <v>28.758769091024551</v>
      </c>
      <c r="Z100" s="220">
        <f t="shared" si="19"/>
        <v>24.893126876260443</v>
      </c>
      <c r="AA100" s="220">
        <f t="shared" si="19"/>
        <v>21.815434894060079</v>
      </c>
      <c r="AB100" s="220">
        <f t="shared" si="19"/>
        <v>19.26797099388747</v>
      </c>
      <c r="AC100" s="220">
        <f t="shared" si="19"/>
        <v>17.100581470254244</v>
      </c>
      <c r="AD100" s="220">
        <f t="shared" si="19"/>
        <v>15.218354270471483</v>
      </c>
      <c r="AE100" s="220">
        <f t="shared" si="19"/>
        <v>13.557600308168009</v>
      </c>
    </row>
    <row r="101" spans="5:31" x14ac:dyDescent="0.25">
      <c r="E101" s="225">
        <v>9.5999999999999992E-3</v>
      </c>
      <c r="F101" s="222">
        <f t="shared" si="15"/>
        <v>9.6</v>
      </c>
      <c r="G101" s="23">
        <f t="shared" si="13"/>
        <v>-44.004800000000003</v>
      </c>
      <c r="H101" s="23">
        <f t="shared" si="13"/>
        <v>-34.004800000000003</v>
      </c>
      <c r="I101" s="23">
        <f t="shared" si="13"/>
        <v>-24.004799999999999</v>
      </c>
      <c r="J101" s="23">
        <f t="shared" si="13"/>
        <v>-14.004799999999999</v>
      </c>
      <c r="K101" s="23">
        <f t="shared" si="13"/>
        <v>-4.0047999999999995</v>
      </c>
      <c r="L101" s="23">
        <f t="shared" si="13"/>
        <v>5.9952000000000005</v>
      </c>
      <c r="M101" s="23">
        <f t="shared" si="13"/>
        <v>15.995200000000001</v>
      </c>
      <c r="N101" s="23">
        <f t="shared" si="13"/>
        <v>25.995200000000001</v>
      </c>
      <c r="O101" s="23">
        <f t="shared" si="13"/>
        <v>35.995199999999997</v>
      </c>
      <c r="P101" s="23">
        <f t="shared" si="13"/>
        <v>45.995199999999997</v>
      </c>
      <c r="Q101" s="23">
        <f t="shared" si="13"/>
        <v>55.995199999999997</v>
      </c>
      <c r="R101" s="23">
        <f t="shared" si="13"/>
        <v>65.995199999999997</v>
      </c>
      <c r="S101" s="23">
        <f t="shared" si="13"/>
        <v>75.995199999999997</v>
      </c>
      <c r="T101" s="23">
        <f t="shared" si="13"/>
        <v>85.995199999999997</v>
      </c>
      <c r="U101" s="23">
        <f t="shared" si="20"/>
        <v>95.995199999999997</v>
      </c>
      <c r="V101" s="220">
        <f t="shared" si="19"/>
        <v>55.75170137738688</v>
      </c>
      <c r="W101" s="220">
        <f t="shared" si="19"/>
        <v>41.718592795864552</v>
      </c>
      <c r="X101" s="220">
        <f t="shared" si="19"/>
        <v>34.104923871255707</v>
      </c>
      <c r="Y101" s="220">
        <f t="shared" si="19"/>
        <v>28.945448728569065</v>
      </c>
      <c r="Z101" s="220">
        <f t="shared" si="19"/>
        <v>25.073965909382313</v>
      </c>
      <c r="AA101" s="220">
        <f t="shared" si="19"/>
        <v>21.991676484180292</v>
      </c>
      <c r="AB101" s="220">
        <f t="shared" si="19"/>
        <v>19.440442496041332</v>
      </c>
      <c r="AC101" s="220">
        <f t="shared" si="19"/>
        <v>17.269870545370413</v>
      </c>
      <c r="AD101" s="220">
        <f t="shared" si="19"/>
        <v>15.38489840621131</v>
      </c>
      <c r="AE101" s="220">
        <f t="shared" si="19"/>
        <v>13.721736984200877</v>
      </c>
    </row>
    <row r="102" spans="5:31" x14ac:dyDescent="0.25">
      <c r="E102" s="225">
        <v>9.7000000000000003E-3</v>
      </c>
      <c r="F102" s="222">
        <f t="shared" si="15"/>
        <v>9.7000000000000011</v>
      </c>
      <c r="G102" s="23">
        <f t="shared" si="13"/>
        <v>-44.254850000000005</v>
      </c>
      <c r="H102" s="23">
        <f t="shared" si="13"/>
        <v>-34.254850000000005</v>
      </c>
      <c r="I102" s="23">
        <f t="shared" si="13"/>
        <v>-24.254850000000001</v>
      </c>
      <c r="J102" s="23">
        <f t="shared" si="13"/>
        <v>-14.254850000000001</v>
      </c>
      <c r="K102" s="23">
        <f t="shared" si="13"/>
        <v>-4.2548500000000011</v>
      </c>
      <c r="L102" s="23">
        <f t="shared" si="13"/>
        <v>5.7451499999999989</v>
      </c>
      <c r="M102" s="23">
        <f t="shared" si="13"/>
        <v>15.745149999999999</v>
      </c>
      <c r="N102" s="23">
        <f t="shared" si="13"/>
        <v>25.745149999999999</v>
      </c>
      <c r="O102" s="23">
        <f t="shared" si="13"/>
        <v>35.745149999999995</v>
      </c>
      <c r="P102" s="23">
        <f t="shared" si="13"/>
        <v>45.745149999999995</v>
      </c>
      <c r="Q102" s="23">
        <f t="shared" si="13"/>
        <v>55.745149999999995</v>
      </c>
      <c r="R102" s="23">
        <f t="shared" si="13"/>
        <v>65.745149999999995</v>
      </c>
      <c r="S102" s="23">
        <f t="shared" si="13"/>
        <v>75.745149999999995</v>
      </c>
      <c r="T102" s="23">
        <f t="shared" si="13"/>
        <v>85.745149999999995</v>
      </c>
      <c r="U102" s="23">
        <f t="shared" si="20"/>
        <v>95.745149999999995</v>
      </c>
      <c r="V102" s="220">
        <f t="shared" si="19"/>
        <v>55.978931806187262</v>
      </c>
      <c r="W102" s="220">
        <f t="shared" si="19"/>
        <v>41.92331868320494</v>
      </c>
      <c r="X102" s="220">
        <f t="shared" si="19"/>
        <v>34.29784164483938</v>
      </c>
      <c r="Y102" s="220">
        <f t="shared" si="19"/>
        <v>29.130525251717902</v>
      </c>
      <c r="Z102" s="220">
        <f t="shared" si="19"/>
        <v>25.253243858136411</v>
      </c>
      <c r="AA102" s="220">
        <f t="shared" si="19"/>
        <v>22.166390123455759</v>
      </c>
      <c r="AB102" s="220">
        <f t="shared" si="19"/>
        <v>19.611413250119295</v>
      </c>
      <c r="AC102" s="220">
        <f t="shared" si="19"/>
        <v>17.437681857001994</v>
      </c>
      <c r="AD102" s="220">
        <f t="shared" si="19"/>
        <v>15.549984619340112</v>
      </c>
      <c r="AE102" s="220">
        <f t="shared" si="19"/>
        <v>13.884433151147508</v>
      </c>
    </row>
    <row r="103" spans="5:31" x14ac:dyDescent="0.25">
      <c r="E103" s="225">
        <v>9.7999999999999997E-3</v>
      </c>
      <c r="F103" s="222">
        <f t="shared" si="15"/>
        <v>9.7999999999999989</v>
      </c>
      <c r="G103" s="23">
        <f t="shared" si="13"/>
        <v>-44.504899999999999</v>
      </c>
      <c r="H103" s="23">
        <f t="shared" si="13"/>
        <v>-34.504899999999999</v>
      </c>
      <c r="I103" s="23">
        <f t="shared" si="13"/>
        <v>-24.504899999999999</v>
      </c>
      <c r="J103" s="23">
        <f t="shared" si="13"/>
        <v>-14.504899999999999</v>
      </c>
      <c r="K103" s="23">
        <f t="shared" si="13"/>
        <v>-4.5048999999999992</v>
      </c>
      <c r="L103" s="23">
        <f t="shared" si="13"/>
        <v>5.4951000000000008</v>
      </c>
      <c r="M103" s="23">
        <f t="shared" si="13"/>
        <v>15.495100000000001</v>
      </c>
      <c r="N103" s="23">
        <f t="shared" si="13"/>
        <v>25.495100000000001</v>
      </c>
      <c r="O103" s="23">
        <f t="shared" si="13"/>
        <v>35.495100000000001</v>
      </c>
      <c r="P103" s="23">
        <f t="shared" si="13"/>
        <v>45.495100000000001</v>
      </c>
      <c r="Q103" s="23">
        <f t="shared" si="13"/>
        <v>55.495100000000001</v>
      </c>
      <c r="R103" s="23">
        <f t="shared" si="13"/>
        <v>65.495100000000008</v>
      </c>
      <c r="S103" s="23">
        <f t="shared" si="13"/>
        <v>75.495100000000008</v>
      </c>
      <c r="T103" s="23">
        <f t="shared" si="13"/>
        <v>85.495100000000008</v>
      </c>
      <c r="U103" s="23">
        <f t="shared" si="20"/>
        <v>95.495100000000008</v>
      </c>
      <c r="V103" s="220">
        <f t="shared" si="19"/>
        <v>56.204292799881891</v>
      </c>
      <c r="W103" s="220">
        <f t="shared" si="19"/>
        <v>42.126333519128259</v>
      </c>
      <c r="X103" s="220">
        <f t="shared" si="19"/>
        <v>34.489131919746825</v>
      </c>
      <c r="Y103" s="220">
        <f t="shared" si="19"/>
        <v>29.314029924812125</v>
      </c>
      <c r="Z103" s="220">
        <f t="shared" si="19"/>
        <v>25.430991191235016</v>
      </c>
      <c r="AA103" s="220">
        <f t="shared" si="19"/>
        <v>22.339605652708826</v>
      </c>
      <c r="AB103" s="220">
        <f t="shared" si="19"/>
        <v>19.780912580994752</v>
      </c>
      <c r="AC103" s="220">
        <f t="shared" si="19"/>
        <v>17.604044293760161</v>
      </c>
      <c r="AD103" s="220">
        <f t="shared" si="19"/>
        <v>15.713641421639878</v>
      </c>
      <c r="AE103" s="220">
        <f t="shared" si="19"/>
        <v>14.045716989880262</v>
      </c>
    </row>
    <row r="104" spans="5:31" x14ac:dyDescent="0.25">
      <c r="E104" s="225">
        <v>9.9000000000000008E-3</v>
      </c>
      <c r="F104" s="222">
        <f t="shared" si="15"/>
        <v>9.9</v>
      </c>
      <c r="G104" s="23">
        <f t="shared" si="13"/>
        <v>-44.754950000000001</v>
      </c>
      <c r="H104" s="23">
        <f t="shared" si="13"/>
        <v>-34.754950000000001</v>
      </c>
      <c r="I104" s="23">
        <f t="shared" si="13"/>
        <v>-24.754950000000001</v>
      </c>
      <c r="J104" s="23">
        <f t="shared" si="13"/>
        <v>-14.754950000000001</v>
      </c>
      <c r="K104" s="23">
        <f t="shared" si="13"/>
        <v>-4.7549500000000009</v>
      </c>
      <c r="L104" s="23">
        <f t="shared" si="13"/>
        <v>5.2450499999999991</v>
      </c>
      <c r="M104" s="23">
        <f t="shared" si="13"/>
        <v>15.245049999999999</v>
      </c>
      <c r="N104" s="23">
        <f t="shared" si="13"/>
        <v>25.245049999999999</v>
      </c>
      <c r="O104" s="23">
        <f t="shared" si="13"/>
        <v>35.245049999999999</v>
      </c>
      <c r="P104" s="23">
        <f t="shared" si="13"/>
        <v>45.245049999999999</v>
      </c>
      <c r="Q104" s="23">
        <f t="shared" si="13"/>
        <v>55.245049999999999</v>
      </c>
      <c r="R104" s="23">
        <f t="shared" si="13"/>
        <v>65.245049999999992</v>
      </c>
      <c r="S104" s="23">
        <f t="shared" si="13"/>
        <v>75.245049999999992</v>
      </c>
      <c r="T104" s="23">
        <f t="shared" si="13"/>
        <v>85.245049999999992</v>
      </c>
      <c r="U104" s="23">
        <f t="shared" si="20"/>
        <v>95.245049999999992</v>
      </c>
      <c r="V104" s="220">
        <f t="shared" si="19"/>
        <v>56.427820253995272</v>
      </c>
      <c r="W104" s="220">
        <f t="shared" si="19"/>
        <v>42.327670250845181</v>
      </c>
      <c r="X104" s="220">
        <f t="shared" si="19"/>
        <v>34.67882608272761</v>
      </c>
      <c r="Y104" s="220">
        <f t="shared" si="19"/>
        <v>29.495993093254576</v>
      </c>
      <c r="Z104" s="220">
        <f t="shared" si="19"/>
        <v>25.607237481394598</v>
      </c>
      <c r="AA104" s="220">
        <f t="shared" si="19"/>
        <v>22.511352034883743</v>
      </c>
      <c r="AB104" s="220">
        <f t="shared" si="19"/>
        <v>19.948968950558701</v>
      </c>
      <c r="AC104" s="220">
        <f t="shared" si="19"/>
        <v>17.768985893874493</v>
      </c>
      <c r="AD104" s="220">
        <f t="shared" si="19"/>
        <v>15.875896485399444</v>
      </c>
      <c r="AE104" s="220">
        <f t="shared" si="19"/>
        <v>14.205615851343026</v>
      </c>
    </row>
    <row r="105" spans="5:31" x14ac:dyDescent="0.25">
      <c r="E105" s="225">
        <v>0.01</v>
      </c>
      <c r="F105" s="222">
        <f t="shared" si="15"/>
        <v>10</v>
      </c>
      <c r="G105" s="23">
        <f t="shared" si="13"/>
        <v>-45.004999999999995</v>
      </c>
      <c r="H105" s="23">
        <f t="shared" si="13"/>
        <v>-35.004999999999995</v>
      </c>
      <c r="I105" s="23">
        <f t="shared" si="13"/>
        <v>-25.004999999999999</v>
      </c>
      <c r="J105" s="23">
        <f t="shared" si="13"/>
        <v>-15.004999999999999</v>
      </c>
      <c r="K105" s="23">
        <f t="shared" si="13"/>
        <v>-5.004999999999999</v>
      </c>
      <c r="L105" s="23">
        <f t="shared" si="13"/>
        <v>4.995000000000001</v>
      </c>
      <c r="M105" s="23">
        <f t="shared" si="13"/>
        <v>14.995000000000001</v>
      </c>
      <c r="N105" s="23">
        <f t="shared" si="13"/>
        <v>24.995000000000001</v>
      </c>
      <c r="O105" s="23">
        <f t="shared" si="13"/>
        <v>34.995000000000005</v>
      </c>
      <c r="P105" s="23">
        <f t="shared" si="13"/>
        <v>44.995000000000005</v>
      </c>
      <c r="Q105" s="23">
        <f t="shared" si="13"/>
        <v>54.995000000000005</v>
      </c>
      <c r="R105" s="23">
        <f t="shared" si="13"/>
        <v>64.995000000000005</v>
      </c>
      <c r="S105" s="23">
        <f t="shared" si="13"/>
        <v>74.995000000000005</v>
      </c>
      <c r="T105" s="23">
        <f t="shared" si="13"/>
        <v>84.995000000000005</v>
      </c>
      <c r="U105" s="23">
        <f t="shared" si="20"/>
        <v>94.995000000000005</v>
      </c>
      <c r="V105" s="220">
        <f t="shared" si="19"/>
        <v>56.649549023113039</v>
      </c>
      <c r="W105" s="220">
        <f t="shared" si="19"/>
        <v>42.527360868444504</v>
      </c>
      <c r="X105" s="220">
        <f t="shared" si="19"/>
        <v>34.866954607861643</v>
      </c>
      <c r="Y105" s="220">
        <f t="shared" si="19"/>
        <v>29.676444219478828</v>
      </c>
      <c r="Z105" s="220">
        <f t="shared" si="19"/>
        <v>25.782011440419286</v>
      </c>
      <c r="AA105" s="220">
        <f t="shared" si="19"/>
        <v>22.681657389430317</v>
      </c>
      <c r="AB105" s="220">
        <f t="shared" si="19"/>
        <v>20.115609991527901</v>
      </c>
      <c r="AC105" s="220">
        <f t="shared" si="19"/>
        <v>17.932533878514189</v>
      </c>
      <c r="AD105" s="220">
        <f t="shared" si="19"/>
        <v>16.036776676314755</v>
      </c>
      <c r="AE105" s="220">
        <f t="shared" si="19"/>
        <v>14.364156289081937</v>
      </c>
    </row>
    <row r="106" spans="5:31" x14ac:dyDescent="0.25">
      <c r="E106" s="225">
        <v>1.01E-2</v>
      </c>
      <c r="F106" s="222">
        <f t="shared" si="15"/>
        <v>10.1</v>
      </c>
      <c r="G106" s="23">
        <f t="shared" si="13"/>
        <v>-45.255049999999997</v>
      </c>
      <c r="H106" s="23">
        <f t="shared" si="13"/>
        <v>-35.255049999999997</v>
      </c>
      <c r="I106" s="23">
        <f t="shared" si="13"/>
        <v>-25.255050000000001</v>
      </c>
      <c r="J106" s="23">
        <f t="shared" si="13"/>
        <v>-15.255050000000001</v>
      </c>
      <c r="K106" s="23">
        <f t="shared" si="13"/>
        <v>-5.2550500000000007</v>
      </c>
      <c r="L106" s="23">
        <f t="shared" si="13"/>
        <v>4.7449499999999993</v>
      </c>
      <c r="M106" s="23">
        <f t="shared" si="13"/>
        <v>14.744949999999999</v>
      </c>
      <c r="N106" s="23">
        <f t="shared" si="13"/>
        <v>24.744949999999999</v>
      </c>
      <c r="O106" s="23">
        <f t="shared" si="13"/>
        <v>34.744950000000003</v>
      </c>
      <c r="P106" s="23">
        <f t="shared" si="13"/>
        <v>44.744950000000003</v>
      </c>
      <c r="Q106" s="23">
        <f t="shared" si="13"/>
        <v>54.744950000000003</v>
      </c>
      <c r="R106" s="23">
        <f t="shared" si="13"/>
        <v>64.744950000000003</v>
      </c>
      <c r="S106" s="23">
        <f t="shared" si="13"/>
        <v>74.744950000000003</v>
      </c>
      <c r="T106" s="23">
        <f t="shared" si="13"/>
        <v>84.744950000000003</v>
      </c>
      <c r="U106" s="23">
        <f t="shared" si="20"/>
        <v>94.744950000000003</v>
      </c>
      <c r="V106" s="220">
        <f t="shared" ref="V106:AE115" si="21">Enthalpie_p_phi_x(hx_druck,V$4,$E106)-$E106*R0()</f>
        <v>56.869512961123903</v>
      </c>
      <c r="W106" s="220">
        <f t="shared" si="21"/>
        <v>42.725436441940829</v>
      </c>
      <c r="X106" s="220">
        <f t="shared" si="21"/>
        <v>35.053547091910616</v>
      </c>
      <c r="Y106" s="220">
        <f t="shared" si="21"/>
        <v>29.855411917166247</v>
      </c>
      <c r="Z106" s="220">
        <f t="shared" si="21"/>
        <v>25.95534095257489</v>
      </c>
      <c r="AA106" s="220">
        <f t="shared" si="21"/>
        <v>22.850549025012068</v>
      </c>
      <c r="AB106" s="220">
        <f t="shared" si="21"/>
        <v>20.280862539605263</v>
      </c>
      <c r="AC106" s="220">
        <f t="shared" si="21"/>
        <v>18.094714683484877</v>
      </c>
      <c r="AD106" s="220">
        <f t="shared" si="21"/>
        <v>16.19630808478507</v>
      </c>
      <c r="AE106" s="220">
        <f t="shared" si="21"/>
        <v>14.521364090189397</v>
      </c>
    </row>
    <row r="107" spans="5:31" x14ac:dyDescent="0.25">
      <c r="E107" s="225">
        <v>1.0200000000000001E-2</v>
      </c>
      <c r="F107" s="222">
        <f t="shared" si="15"/>
        <v>10.200000000000001</v>
      </c>
      <c r="G107" s="23">
        <f t="shared" si="13"/>
        <v>-45.505099999999999</v>
      </c>
      <c r="H107" s="23">
        <f t="shared" si="13"/>
        <v>-35.505099999999999</v>
      </c>
      <c r="I107" s="23">
        <f t="shared" si="13"/>
        <v>-25.505100000000002</v>
      </c>
      <c r="J107" s="23">
        <f t="shared" si="13"/>
        <v>-15.505100000000002</v>
      </c>
      <c r="K107" s="23">
        <f t="shared" si="13"/>
        <v>-5.5051000000000023</v>
      </c>
      <c r="L107" s="23">
        <f t="shared" si="13"/>
        <v>4.4948999999999977</v>
      </c>
      <c r="M107" s="23">
        <f t="shared" si="13"/>
        <v>14.494899999999998</v>
      </c>
      <c r="N107" s="23">
        <f t="shared" si="13"/>
        <v>24.494899999999998</v>
      </c>
      <c r="O107" s="23">
        <f t="shared" si="13"/>
        <v>34.494900000000001</v>
      </c>
      <c r="P107" s="23">
        <f t="shared" si="13"/>
        <v>44.494900000000001</v>
      </c>
      <c r="Q107" s="23">
        <f t="shared" si="13"/>
        <v>54.494900000000001</v>
      </c>
      <c r="R107" s="23">
        <f t="shared" si="13"/>
        <v>64.494900000000001</v>
      </c>
      <c r="S107" s="23">
        <f t="shared" si="13"/>
        <v>74.494900000000001</v>
      </c>
      <c r="T107" s="23">
        <f t="shared" si="13"/>
        <v>84.494900000000001</v>
      </c>
      <c r="U107" s="23">
        <f t="shared" si="20"/>
        <v>94.494900000000001</v>
      </c>
      <c r="V107" s="220">
        <f t="shared" si="21"/>
        <v>57.087744959524173</v>
      </c>
      <c r="W107" s="220">
        <f t="shared" si="21"/>
        <v>42.921927156537407</v>
      </c>
      <c r="X107" s="220">
        <f t="shared" si="21"/>
        <v>35.238632287965132</v>
      </c>
      <c r="Y107" s="220">
        <f t="shared" si="21"/>
        <v>30.032923983812818</v>
      </c>
      <c r="Z107" s="220">
        <f t="shared" si="21"/>
        <v>26.127253106353013</v>
      </c>
      <c r="AA107" s="220">
        <f t="shared" si="21"/>
        <v>23.01805347063608</v>
      </c>
      <c r="AB107" s="220">
        <f t="shared" si="21"/>
        <v>20.444752664088053</v>
      </c>
      <c r="AC107" s="220">
        <f t="shared" si="21"/>
        <v>18.255553989395519</v>
      </c>
      <c r="AD107" s="220">
        <f t="shared" si="21"/>
        <v>16.35451605569838</v>
      </c>
      <c r="AE107" s="220">
        <f t="shared" si="21"/>
        <v>14.677264304754399</v>
      </c>
    </row>
    <row r="108" spans="5:31" x14ac:dyDescent="0.25">
      <c r="E108" s="225">
        <v>1.03E-2</v>
      </c>
      <c r="F108" s="222">
        <f t="shared" si="15"/>
        <v>10.3</v>
      </c>
      <c r="G108" s="23">
        <f t="shared" si="13"/>
        <v>-45.75515</v>
      </c>
      <c r="H108" s="23">
        <f t="shared" si="13"/>
        <v>-35.75515</v>
      </c>
      <c r="I108" s="23">
        <f t="shared" si="13"/>
        <v>-25.75515</v>
      </c>
      <c r="J108" s="23">
        <f t="shared" si="13"/>
        <v>-15.75515</v>
      </c>
      <c r="K108" s="23">
        <f t="shared" si="13"/>
        <v>-5.7551500000000004</v>
      </c>
      <c r="L108" s="23">
        <f t="shared" si="13"/>
        <v>4.2448499999999996</v>
      </c>
      <c r="M108" s="23">
        <f t="shared" si="13"/>
        <v>14.24485</v>
      </c>
      <c r="N108" s="23">
        <f t="shared" si="13"/>
        <v>24.24485</v>
      </c>
      <c r="O108" s="23">
        <f t="shared" si="13"/>
        <v>34.24485</v>
      </c>
      <c r="P108" s="23">
        <f t="shared" si="13"/>
        <v>44.24485</v>
      </c>
      <c r="Q108" s="23">
        <f t="shared" si="13"/>
        <v>54.24485</v>
      </c>
      <c r="R108" s="23">
        <f t="shared" si="13"/>
        <v>64.24485</v>
      </c>
      <c r="S108" s="23">
        <f t="shared" si="13"/>
        <v>74.24485</v>
      </c>
      <c r="T108" s="23">
        <f t="shared" si="13"/>
        <v>84.24485</v>
      </c>
      <c r="U108" s="23">
        <f t="shared" si="20"/>
        <v>94.24485</v>
      </c>
      <c r="V108" s="220">
        <f t="shared" si="21"/>
        <v>57.304276983896273</v>
      </c>
      <c r="W108" s="220">
        <f t="shared" si="21"/>
        <v>43.116862346205963</v>
      </c>
      <c r="X108" s="220">
        <f t="shared" si="21"/>
        <v>35.422238137485451</v>
      </c>
      <c r="Y108" s="220">
        <f t="shared" si="21"/>
        <v>30.209007431740616</v>
      </c>
      <c r="Z108" s="220">
        <f t="shared" si="21"/>
        <v>26.297774224717713</v>
      </c>
      <c r="AA108" s="220">
        <f t="shared" si="21"/>
        <v>23.184196505295418</v>
      </c>
      <c r="AB108" s="220">
        <f t="shared" si="21"/>
        <v>20.60730569701348</v>
      </c>
      <c r="AC108" s="220">
        <f t="shared" si="21"/>
        <v>18.415076750383406</v>
      </c>
      <c r="AD108" s="220">
        <f t="shared" si="21"/>
        <v>16.511425216792929</v>
      </c>
      <c r="AE108" s="220">
        <f t="shared" si="21"/>
        <v>14.831881273904663</v>
      </c>
    </row>
    <row r="109" spans="5:31" x14ac:dyDescent="0.25">
      <c r="E109" s="225">
        <v>1.04E-2</v>
      </c>
      <c r="F109" s="222">
        <f t="shared" si="15"/>
        <v>10.4</v>
      </c>
      <c r="G109" s="23">
        <f t="shared" si="13"/>
        <v>-46.005200000000002</v>
      </c>
      <c r="H109" s="23">
        <f t="shared" si="13"/>
        <v>-36.005200000000002</v>
      </c>
      <c r="I109" s="23">
        <f t="shared" si="13"/>
        <v>-26.005199999999999</v>
      </c>
      <c r="J109" s="23">
        <f t="shared" si="13"/>
        <v>-16.005199999999999</v>
      </c>
      <c r="K109" s="23">
        <f t="shared" si="13"/>
        <v>-6.0051999999999985</v>
      </c>
      <c r="L109" s="23">
        <f t="shared" si="13"/>
        <v>3.9948000000000015</v>
      </c>
      <c r="M109" s="23">
        <f t="shared" si="13"/>
        <v>13.994800000000001</v>
      </c>
      <c r="N109" s="23">
        <f t="shared" si="13"/>
        <v>23.994800000000001</v>
      </c>
      <c r="O109" s="23">
        <f t="shared" si="13"/>
        <v>33.994799999999998</v>
      </c>
      <c r="P109" s="23">
        <f t="shared" si="13"/>
        <v>43.994799999999998</v>
      </c>
      <c r="Q109" s="23">
        <f t="shared" si="13"/>
        <v>53.994799999999998</v>
      </c>
      <c r="R109" s="23">
        <f t="shared" si="13"/>
        <v>63.994799999999998</v>
      </c>
      <c r="S109" s="23">
        <f t="shared" si="13"/>
        <v>73.994799999999998</v>
      </c>
      <c r="T109" s="23">
        <f t="shared" si="13"/>
        <v>83.994799999999998</v>
      </c>
      <c r="U109" s="23">
        <f t="shared" si="20"/>
        <v>93.994799999999998</v>
      </c>
      <c r="V109" s="220">
        <f t="shared" si="21"/>
        <v>57.519140108665496</v>
      </c>
      <c r="W109" s="220">
        <f t="shared" si="21"/>
        <v>43.310270525680195</v>
      </c>
      <c r="X109" s="220">
        <f t="shared" si="21"/>
        <v>35.604391800827514</v>
      </c>
      <c r="Y109" s="220">
        <f t="shared" si="21"/>
        <v>30.383688517642685</v>
      </c>
      <c r="Z109" s="220">
        <f t="shared" si="21"/>
        <v>26.466929893921307</v>
      </c>
      <c r="AA109" s="220">
        <f t="shared" si="21"/>
        <v>23.349003186209028</v>
      </c>
      <c r="AB109" s="220">
        <f t="shared" si="21"/>
        <v>20.768546260924762</v>
      </c>
      <c r="AC109" s="220">
        <f t="shared" si="21"/>
        <v>18.573307221479514</v>
      </c>
      <c r="AD109" s="220">
        <f t="shared" si="21"/>
        <v>16.667059505676168</v>
      </c>
      <c r="AE109" s="220">
        <f t="shared" si="21"/>
        <v>14.985238656521201</v>
      </c>
    </row>
    <row r="110" spans="5:31" x14ac:dyDescent="0.25">
      <c r="E110" s="225">
        <v>1.0500000000000001E-2</v>
      </c>
      <c r="F110" s="222">
        <f t="shared" si="15"/>
        <v>10.5</v>
      </c>
      <c r="G110" s="23">
        <f t="shared" si="13"/>
        <v>-46.255250000000004</v>
      </c>
      <c r="H110" s="23">
        <f t="shared" si="13"/>
        <v>-36.255250000000004</v>
      </c>
      <c r="I110" s="23">
        <f t="shared" si="13"/>
        <v>-26.25525</v>
      </c>
      <c r="J110" s="23">
        <f t="shared" si="13"/>
        <v>-16.25525</v>
      </c>
      <c r="K110" s="23">
        <f t="shared" si="13"/>
        <v>-6.2552500000000002</v>
      </c>
      <c r="L110" s="23">
        <f t="shared" si="13"/>
        <v>3.7447499999999998</v>
      </c>
      <c r="M110" s="23">
        <f t="shared" si="13"/>
        <v>13.74475</v>
      </c>
      <c r="N110" s="23">
        <f t="shared" si="13"/>
        <v>23.74475</v>
      </c>
      <c r="O110" s="23">
        <f t="shared" si="13"/>
        <v>33.744749999999996</v>
      </c>
      <c r="P110" s="23">
        <f t="shared" si="13"/>
        <v>43.744749999999996</v>
      </c>
      <c r="Q110" s="23">
        <f t="shared" si="13"/>
        <v>53.744749999999996</v>
      </c>
      <c r="R110" s="23">
        <f t="shared" si="13"/>
        <v>63.744749999999996</v>
      </c>
      <c r="S110" s="23">
        <f t="shared" si="13"/>
        <v>73.744749999999996</v>
      </c>
      <c r="T110" s="23">
        <f t="shared" si="13"/>
        <v>83.744749999999996</v>
      </c>
      <c r="U110" s="23">
        <f t="shared" si="20"/>
        <v>93.744749999999996</v>
      </c>
      <c r="V110" s="220">
        <f t="shared" si="21"/>
        <v>57.732364550231367</v>
      </c>
      <c r="W110" s="220">
        <f t="shared" si="21"/>
        <v>43.50217942095172</v>
      </c>
      <c r="X110" s="220">
        <f t="shared" si="21"/>
        <v>35.785119686339456</v>
      </c>
      <c r="Y110" s="220">
        <f t="shared" si="21"/>
        <v>30.556992770743864</v>
      </c>
      <c r="Z110" s="220">
        <f t="shared" si="21"/>
        <v>26.634744990969953</v>
      </c>
      <c r="AA110" s="220">
        <f t="shared" si="21"/>
        <v>23.512497875738024</v>
      </c>
      <c r="AB110" s="220">
        <f t="shared" si="21"/>
        <v>20.928498295335832</v>
      </c>
      <c r="AC110" s="220">
        <f t="shared" si="21"/>
        <v>18.73026898469092</v>
      </c>
      <c r="AD110" s="220">
        <f t="shared" si="21"/>
        <v>16.821442195576783</v>
      </c>
      <c r="AE110" s="220">
        <f t="shared" si="21"/>
        <v>15.137359454700093</v>
      </c>
    </row>
    <row r="111" spans="5:31" x14ac:dyDescent="0.25">
      <c r="E111" s="225">
        <v>1.06E-2</v>
      </c>
      <c r="F111" s="222">
        <f t="shared" si="15"/>
        <v>10.6</v>
      </c>
      <c r="G111" s="23">
        <f t="shared" si="13"/>
        <v>-46.505300000000005</v>
      </c>
      <c r="H111" s="23">
        <f t="shared" si="13"/>
        <v>-36.505300000000005</v>
      </c>
      <c r="I111" s="23">
        <f t="shared" si="13"/>
        <v>-26.505300000000002</v>
      </c>
      <c r="J111" s="23">
        <f t="shared" si="13"/>
        <v>-16.505300000000002</v>
      </c>
      <c r="K111" s="23">
        <f t="shared" si="13"/>
        <v>-6.5053000000000019</v>
      </c>
      <c r="L111" s="23">
        <f t="shared" si="13"/>
        <v>3.4946999999999981</v>
      </c>
      <c r="M111" s="23">
        <f t="shared" si="13"/>
        <v>13.494699999999998</v>
      </c>
      <c r="N111" s="23">
        <f t="shared" si="13"/>
        <v>23.494699999999998</v>
      </c>
      <c r="O111" s="23">
        <f t="shared" si="13"/>
        <v>33.494699999999995</v>
      </c>
      <c r="P111" s="23">
        <f t="shared" si="13"/>
        <v>43.494699999999995</v>
      </c>
      <c r="Q111" s="23">
        <f t="shared" si="13"/>
        <v>53.494699999999995</v>
      </c>
      <c r="R111" s="23">
        <f t="shared" si="13"/>
        <v>63.494699999999995</v>
      </c>
      <c r="S111" s="23">
        <f t="shared" si="13"/>
        <v>73.494699999999995</v>
      </c>
      <c r="T111" s="23">
        <f t="shared" si="13"/>
        <v>83.494699999999995</v>
      </c>
      <c r="U111" s="23">
        <f t="shared" si="20"/>
        <v>93.494699999999995</v>
      </c>
      <c r="V111" s="220">
        <f t="shared" si="21"/>
        <v>57.943979698564775</v>
      </c>
      <c r="W111" s="220">
        <f t="shared" si="21"/>
        <v>43.692615998352395</v>
      </c>
      <c r="X111" s="220">
        <f t="shared" si="21"/>
        <v>35.964447478108681</v>
      </c>
      <c r="Y111" s="220">
        <f t="shared" si="21"/>
        <v>30.728945019655033</v>
      </c>
      <c r="Z111" s="220">
        <f t="shared" si="21"/>
        <v>26.80124370981456</v>
      </c>
      <c r="AA111" s="220">
        <f t="shared" si="21"/>
        <v>23.674704267052594</v>
      </c>
      <c r="AB111" s="220">
        <f t="shared" si="21"/>
        <v>21.087185081967181</v>
      </c>
      <c r="AC111" s="220">
        <f t="shared" si="21"/>
        <v>18.885984973871981</v>
      </c>
      <c r="AD111" s="220">
        <f t="shared" si="21"/>
        <v>16.974595919900739</v>
      </c>
      <c r="AE111" s="220">
        <f t="shared" si="21"/>
        <v>15.288266038031669</v>
      </c>
    </row>
    <row r="112" spans="5:31" x14ac:dyDescent="0.25">
      <c r="E112" s="225">
        <v>1.0699999999999999E-2</v>
      </c>
      <c r="F112" s="222">
        <f t="shared" si="15"/>
        <v>10.7</v>
      </c>
      <c r="G112" s="23">
        <f t="shared" si="13"/>
        <v>-46.75535</v>
      </c>
      <c r="H112" s="23">
        <f t="shared" si="13"/>
        <v>-36.75535</v>
      </c>
      <c r="I112" s="23">
        <f t="shared" si="13"/>
        <v>-26.75535</v>
      </c>
      <c r="J112" s="23">
        <f t="shared" si="13"/>
        <v>-16.75535</v>
      </c>
      <c r="K112" s="23">
        <f t="shared" si="13"/>
        <v>-6.75535</v>
      </c>
      <c r="L112" s="23">
        <f t="shared" si="13"/>
        <v>3.24465</v>
      </c>
      <c r="M112" s="23">
        <f t="shared" si="13"/>
        <v>13.24465</v>
      </c>
      <c r="N112" s="23">
        <f t="shared" si="13"/>
        <v>23.24465</v>
      </c>
      <c r="O112" s="23">
        <f t="shared" si="13"/>
        <v>33.24465</v>
      </c>
      <c r="P112" s="23">
        <f t="shared" si="13"/>
        <v>43.24465</v>
      </c>
      <c r="Q112" s="23">
        <f t="shared" si="13"/>
        <v>53.24465</v>
      </c>
      <c r="R112" s="23">
        <f t="shared" si="13"/>
        <v>63.24465</v>
      </c>
      <c r="S112" s="23">
        <f t="shared" si="13"/>
        <v>73.244650000000007</v>
      </c>
      <c r="T112" s="23">
        <f t="shared" si="13"/>
        <v>83.244650000000007</v>
      </c>
      <c r="U112" s="23">
        <f t="shared" si="20"/>
        <v>93.244650000000007</v>
      </c>
      <c r="V112" s="220">
        <f t="shared" si="21"/>
        <v>58.154014147355603</v>
      </c>
      <c r="W112" s="220">
        <f t="shared" si="21"/>
        <v>43.881606492301209</v>
      </c>
      <c r="X112" s="220">
        <f t="shared" si="21"/>
        <v>36.142400162434051</v>
      </c>
      <c r="Y112" s="220">
        <f t="shared" si="21"/>
        <v>30.899569417993177</v>
      </c>
      <c r="Z112" s="220">
        <f t="shared" si="21"/>
        <v>26.966449586337653</v>
      </c>
      <c r="AA112" s="220">
        <f t="shared" si="21"/>
        <v>23.835645408618589</v>
      </c>
      <c r="AB112" s="220">
        <f t="shared" si="21"/>
        <v>21.244629268821157</v>
      </c>
      <c r="AC112" s="220">
        <f t="shared" si="21"/>
        <v>19.040477498451573</v>
      </c>
      <c r="AD112" s="220">
        <f t="shared" si="21"/>
        <v>17.126542695657655</v>
      </c>
      <c r="AE112" s="220">
        <f t="shared" si="21"/>
        <v>15.437980166762564</v>
      </c>
    </row>
    <row r="113" spans="5:31" x14ac:dyDescent="0.25">
      <c r="E113" s="225">
        <v>1.0800000000000001E-2</v>
      </c>
      <c r="F113" s="222">
        <f t="shared" si="15"/>
        <v>10.8</v>
      </c>
      <c r="G113" s="23">
        <f t="shared" si="13"/>
        <v>-47.005400000000002</v>
      </c>
      <c r="H113" s="23">
        <f t="shared" si="13"/>
        <v>-37.005400000000002</v>
      </c>
      <c r="I113" s="23">
        <f t="shared" si="13"/>
        <v>-27.005400000000002</v>
      </c>
      <c r="J113" s="23">
        <f t="shared" si="13"/>
        <v>-17.005400000000002</v>
      </c>
      <c r="K113" s="23">
        <f t="shared" si="13"/>
        <v>-7.0054000000000016</v>
      </c>
      <c r="L113" s="23">
        <f t="shared" si="13"/>
        <v>2.9945999999999984</v>
      </c>
      <c r="M113" s="23">
        <f t="shared" si="13"/>
        <v>12.994599999999998</v>
      </c>
      <c r="N113" s="23">
        <f t="shared" si="13"/>
        <v>22.994599999999998</v>
      </c>
      <c r="O113" s="23">
        <f t="shared" si="13"/>
        <v>32.994599999999998</v>
      </c>
      <c r="P113" s="23">
        <f t="shared" si="13"/>
        <v>42.994599999999998</v>
      </c>
      <c r="Q113" s="23">
        <f t="shared" si="13"/>
        <v>52.994599999999998</v>
      </c>
      <c r="R113" s="23">
        <f t="shared" si="13"/>
        <v>62.994599999999998</v>
      </c>
      <c r="S113" s="23">
        <f t="shared" si="13"/>
        <v>72.994599999999991</v>
      </c>
      <c r="T113" s="23">
        <f t="shared" si="13"/>
        <v>82.994599999999991</v>
      </c>
      <c r="U113" s="23">
        <f t="shared" si="20"/>
        <v>92.994599999999991</v>
      </c>
      <c r="V113" s="220">
        <f t="shared" si="21"/>
        <v>58.362495722790108</v>
      </c>
      <c r="W113" s="220">
        <f t="shared" si="21"/>
        <v>44.069176431788783</v>
      </c>
      <c r="X113" s="220">
        <f t="shared" si="21"/>
        <v>36.319002053093122</v>
      </c>
      <c r="Y113" s="220">
        <f t="shared" si="21"/>
        <v>31.068889468834691</v>
      </c>
      <c r="Z113" s="220">
        <f t="shared" si="21"/>
        <v>27.130385522202026</v>
      </c>
      <c r="AA113" s="220">
        <f t="shared" si="21"/>
        <v>23.995343727568603</v>
      </c>
      <c r="AB113" s="220">
        <f t="shared" si="21"/>
        <v>21.400852893160156</v>
      </c>
      <c r="AC113" s="220">
        <f t="shared" si="21"/>
        <v>19.193768266078912</v>
      </c>
      <c r="AD113" s="220">
        <f t="shared" si="21"/>
        <v>17.277303945819369</v>
      </c>
      <c r="AE113" s="220">
        <f t="shared" si="21"/>
        <v>15.586523013901676</v>
      </c>
    </row>
    <row r="114" spans="5:31" x14ac:dyDescent="0.25">
      <c r="E114" s="225">
        <v>1.09E-2</v>
      </c>
      <c r="F114" s="222">
        <f t="shared" si="15"/>
        <v>10.9</v>
      </c>
      <c r="G114" s="23">
        <f t="shared" si="13"/>
        <v>-47.255449999999996</v>
      </c>
      <c r="H114" s="23">
        <f t="shared" si="13"/>
        <v>-37.255449999999996</v>
      </c>
      <c r="I114" s="23">
        <f t="shared" si="13"/>
        <v>-27.25545</v>
      </c>
      <c r="J114" s="23">
        <f t="shared" si="13"/>
        <v>-17.25545</v>
      </c>
      <c r="K114" s="23">
        <f t="shared" si="13"/>
        <v>-7.2554499999999997</v>
      </c>
      <c r="L114" s="23">
        <f t="shared" si="13"/>
        <v>2.7445500000000003</v>
      </c>
      <c r="M114" s="23">
        <f t="shared" si="13"/>
        <v>12.74455</v>
      </c>
      <c r="N114" s="23">
        <f t="shared" si="13"/>
        <v>22.74455</v>
      </c>
      <c r="O114" s="23">
        <f t="shared" si="13"/>
        <v>32.744550000000004</v>
      </c>
      <c r="P114" s="23">
        <f t="shared" si="13"/>
        <v>42.744550000000004</v>
      </c>
      <c r="Q114" s="23">
        <f t="shared" si="13"/>
        <v>52.744550000000004</v>
      </c>
      <c r="R114" s="23">
        <f t="shared" si="13"/>
        <v>62.744550000000004</v>
      </c>
      <c r="S114" s="23">
        <f t="shared" si="13"/>
        <v>72.744550000000004</v>
      </c>
      <c r="T114" s="23">
        <f t="shared" si="13"/>
        <v>82.744550000000004</v>
      </c>
      <c r="U114" s="23">
        <f t="shared" si="20"/>
        <v>92.744550000000004</v>
      </c>
      <c r="V114" s="220">
        <f t="shared" si="21"/>
        <v>58.569451511032383</v>
      </c>
      <c r="W114" s="220">
        <f t="shared" si="21"/>
        <v>44.255350665668146</v>
      </c>
      <c r="X114" s="220">
        <f t="shared" si="21"/>
        <v>36.494276815469917</v>
      </c>
      <c r="Y114" s="220">
        <f t="shared" si="21"/>
        <v>31.236928048065646</v>
      </c>
      <c r="Z114" s="220">
        <f t="shared" si="21"/>
        <v>27.293073807623255</v>
      </c>
      <c r="AA114" s="220">
        <f t="shared" si="21"/>
        <v>24.153821052018127</v>
      </c>
      <c r="AB114" s="220">
        <f t="shared" si="21"/>
        <v>21.555877403447507</v>
      </c>
      <c r="AC114" s="220">
        <f t="shared" si="21"/>
        <v>19.345878404246914</v>
      </c>
      <c r="AD114" s="220">
        <f t="shared" si="21"/>
        <v>17.426900520668841</v>
      </c>
      <c r="AE114" s="220">
        <f t="shared" si="21"/>
        <v>15.733915186328307</v>
      </c>
    </row>
    <row r="115" spans="5:31" x14ac:dyDescent="0.25">
      <c r="E115" s="225">
        <v>1.0999999999999999E-2</v>
      </c>
      <c r="F115" s="222">
        <f t="shared" si="15"/>
        <v>11</v>
      </c>
      <c r="G115" s="23">
        <f t="shared" si="13"/>
        <v>-47.505499999999998</v>
      </c>
      <c r="H115" s="23">
        <f t="shared" si="13"/>
        <v>-37.505499999999998</v>
      </c>
      <c r="I115" s="23">
        <f t="shared" si="13"/>
        <v>-27.505499999999998</v>
      </c>
      <c r="J115" s="23">
        <f t="shared" si="13"/>
        <v>-17.505499999999998</v>
      </c>
      <c r="K115" s="23">
        <f t="shared" si="13"/>
        <v>-7.5054999999999978</v>
      </c>
      <c r="L115" s="23">
        <f t="shared" si="13"/>
        <v>2.4945000000000022</v>
      </c>
      <c r="M115" s="23">
        <f t="shared" si="13"/>
        <v>12.494500000000002</v>
      </c>
      <c r="N115" s="23">
        <f t="shared" si="13"/>
        <v>22.494500000000002</v>
      </c>
      <c r="O115" s="23">
        <f t="shared" si="13"/>
        <v>32.494500000000002</v>
      </c>
      <c r="P115" s="23">
        <f t="shared" ref="H115:T135" si="22">P$4-$E115*R0()</f>
        <v>42.494500000000002</v>
      </c>
      <c r="Q115" s="23">
        <f t="shared" si="22"/>
        <v>52.494500000000002</v>
      </c>
      <c r="R115" s="23">
        <f t="shared" si="22"/>
        <v>62.494500000000002</v>
      </c>
      <c r="S115" s="23">
        <f t="shared" si="22"/>
        <v>72.494500000000002</v>
      </c>
      <c r="T115" s="23">
        <f t="shared" si="22"/>
        <v>82.494500000000002</v>
      </c>
      <c r="U115" s="23">
        <f t="shared" si="20"/>
        <v>92.494500000000002</v>
      </c>
      <c r="V115" s="220">
        <f t="shared" si="21"/>
        <v>58.774907884479816</v>
      </c>
      <c r="W115" s="220">
        <f t="shared" si="21"/>
        <v>44.440153386816093</v>
      </c>
      <c r="X115" s="220">
        <f t="shared" si="21"/>
        <v>36.668247489604525</v>
      </c>
      <c r="Y115" s="220">
        <f t="shared" si="21"/>
        <v>31.403707426688193</v>
      </c>
      <c r="Z115" s="220">
        <f t="shared" si="21"/>
        <v>27.454536143124052</v>
      </c>
      <c r="AA115" s="220">
        <f t="shared" si="21"/>
        <v>24.311098632383704</v>
      </c>
      <c r="AB115" s="220">
        <f t="shared" si="21"/>
        <v>21.709723680306965</v>
      </c>
      <c r="AC115" s="220">
        <f t="shared" si="21"/>
        <v>19.496828480948153</v>
      </c>
      <c r="AD115" s="220">
        <f t="shared" si="21"/>
        <v>17.575352718193898</v>
      </c>
      <c r="AE115" s="220">
        <f t="shared" si="21"/>
        <v>15.880176744955257</v>
      </c>
    </row>
    <row r="116" spans="5:31" x14ac:dyDescent="0.25">
      <c r="E116" s="225">
        <v>1.11E-2</v>
      </c>
      <c r="F116" s="222">
        <f t="shared" si="15"/>
        <v>11.1</v>
      </c>
      <c r="G116" s="23">
        <f t="shared" ref="G116:G179" si="23">G$4-$E116*R0()</f>
        <v>-47.755549999999999</v>
      </c>
      <c r="H116" s="23">
        <f t="shared" si="22"/>
        <v>-37.755549999999999</v>
      </c>
      <c r="I116" s="23">
        <f t="shared" si="22"/>
        <v>-27.755549999999999</v>
      </c>
      <c r="J116" s="23">
        <f t="shared" si="22"/>
        <v>-17.755549999999999</v>
      </c>
      <c r="K116" s="23">
        <f t="shared" si="22"/>
        <v>-7.7555499999999995</v>
      </c>
      <c r="L116" s="23">
        <f t="shared" si="22"/>
        <v>2.2444500000000005</v>
      </c>
      <c r="M116" s="23">
        <f t="shared" si="22"/>
        <v>12.244450000000001</v>
      </c>
      <c r="N116" s="23">
        <f t="shared" si="22"/>
        <v>22.244450000000001</v>
      </c>
      <c r="O116" s="23">
        <f t="shared" si="22"/>
        <v>32.244450000000001</v>
      </c>
      <c r="P116" s="23">
        <f t="shared" si="22"/>
        <v>42.244450000000001</v>
      </c>
      <c r="Q116" s="23">
        <f t="shared" si="22"/>
        <v>52.244450000000001</v>
      </c>
      <c r="R116" s="23">
        <f t="shared" si="22"/>
        <v>62.244450000000001</v>
      </c>
      <c r="S116" s="23">
        <f t="shared" si="22"/>
        <v>72.244450000000001</v>
      </c>
      <c r="T116" s="23">
        <f t="shared" si="22"/>
        <v>82.244450000000001</v>
      </c>
      <c r="U116" s="23">
        <f t="shared" si="20"/>
        <v>92.244450000000001</v>
      </c>
      <c r="V116" s="220">
        <f t="shared" ref="V116:AE125" si="24">Enthalpie_p_phi_x(hx_druck,V$4,$E116)-$E116*R0()</f>
        <v>58.978890526857555</v>
      </c>
      <c r="W116" s="220">
        <f t="shared" si="24"/>
        <v>44.623608155225071</v>
      </c>
      <c r="X116" s="220">
        <f t="shared" si="24"/>
        <v>36.840936512222044</v>
      </c>
      <c r="Y116" s="220">
        <f t="shared" si="24"/>
        <v>31.569249292138906</v>
      </c>
      <c r="Z116" s="220">
        <f t="shared" si="24"/>
        <v>27.614793660324594</v>
      </c>
      <c r="AA116" s="220">
        <f t="shared" si="24"/>
        <v>24.467197161756204</v>
      </c>
      <c r="AB116" s="220">
        <f t="shared" si="24"/>
        <v>21.862412056553083</v>
      </c>
      <c r="AC116" s="220">
        <f t="shared" si="24"/>
        <v>19.646638524415124</v>
      </c>
      <c r="AD116" s="220">
        <f t="shared" si="24"/>
        <v>17.722680303576631</v>
      </c>
      <c r="AE116" s="220">
        <f t="shared" si="24"/>
        <v>16.025327223997863</v>
      </c>
    </row>
    <row r="117" spans="5:31" x14ac:dyDescent="0.25">
      <c r="E117" s="225">
        <v>1.12E-2</v>
      </c>
      <c r="F117" s="222">
        <f t="shared" si="15"/>
        <v>11.2</v>
      </c>
      <c r="G117" s="23">
        <f t="shared" si="23"/>
        <v>-48.005600000000001</v>
      </c>
      <c r="H117" s="23">
        <f t="shared" si="22"/>
        <v>-38.005600000000001</v>
      </c>
      <c r="I117" s="23">
        <f t="shared" si="22"/>
        <v>-28.005600000000001</v>
      </c>
      <c r="J117" s="23">
        <f t="shared" si="22"/>
        <v>-18.005600000000001</v>
      </c>
      <c r="K117" s="23">
        <f t="shared" si="22"/>
        <v>-8.0056000000000012</v>
      </c>
      <c r="L117" s="23">
        <f t="shared" si="22"/>
        <v>1.9943999999999988</v>
      </c>
      <c r="M117" s="23">
        <f t="shared" si="22"/>
        <v>11.994399999999999</v>
      </c>
      <c r="N117" s="23">
        <f t="shared" si="22"/>
        <v>21.994399999999999</v>
      </c>
      <c r="O117" s="23">
        <f t="shared" si="22"/>
        <v>31.994399999999999</v>
      </c>
      <c r="P117" s="23">
        <f t="shared" si="22"/>
        <v>41.994399999999999</v>
      </c>
      <c r="Q117" s="23">
        <f t="shared" si="22"/>
        <v>51.994399999999999</v>
      </c>
      <c r="R117" s="23">
        <f t="shared" si="22"/>
        <v>61.994399999999999</v>
      </c>
      <c r="S117" s="23">
        <f t="shared" si="22"/>
        <v>71.994399999999999</v>
      </c>
      <c r="T117" s="23">
        <f t="shared" si="22"/>
        <v>81.994399999999999</v>
      </c>
      <c r="U117" s="23">
        <f t="shared" si="20"/>
        <v>91.994399999999999</v>
      </c>
      <c r="V117" s="220">
        <f t="shared" si="24"/>
        <v>59.18142445721351</v>
      </c>
      <c r="W117" s="220">
        <f t="shared" si="24"/>
        <v>44.805737920082336</v>
      </c>
      <c r="X117" s="220">
        <f t="shared" si="24"/>
        <v>37.012365737794752</v>
      </c>
      <c r="Y117" s="220">
        <f t="shared" si="24"/>
        <v>31.73357476867119</v>
      </c>
      <c r="Z117" s="220">
        <f t="shared" si="24"/>
        <v>27.773866941819918</v>
      </c>
      <c r="AA117" s="220">
        <f t="shared" si="24"/>
        <v>24.622136795379404</v>
      </c>
      <c r="AB117" s="220">
        <f t="shared" si="24"/>
        <v>22.013962336341621</v>
      </c>
      <c r="AC117" s="220">
        <f t="shared" si="24"/>
        <v>19.795328041993059</v>
      </c>
      <c r="AD117" s="220">
        <f t="shared" si="24"/>
        <v>17.868902527826378</v>
      </c>
      <c r="AE117" s="220">
        <f t="shared" si="24"/>
        <v>16.169385649396517</v>
      </c>
    </row>
    <row r="118" spans="5:31" x14ac:dyDescent="0.25">
      <c r="E118" s="225">
        <v>1.1299999999999999E-2</v>
      </c>
      <c r="F118" s="222">
        <f t="shared" si="15"/>
        <v>11.299999999999999</v>
      </c>
      <c r="G118" s="23">
        <f t="shared" si="23"/>
        <v>-48.255650000000003</v>
      </c>
      <c r="H118" s="23">
        <f t="shared" si="22"/>
        <v>-38.255650000000003</v>
      </c>
      <c r="I118" s="23">
        <f t="shared" si="22"/>
        <v>-28.255649999999999</v>
      </c>
      <c r="J118" s="23">
        <f t="shared" si="22"/>
        <v>-18.255649999999999</v>
      </c>
      <c r="K118" s="23">
        <f t="shared" si="22"/>
        <v>-8.2556499999999993</v>
      </c>
      <c r="L118" s="23">
        <f t="shared" si="22"/>
        <v>1.7443500000000007</v>
      </c>
      <c r="M118" s="23">
        <f t="shared" si="22"/>
        <v>11.744350000000001</v>
      </c>
      <c r="N118" s="23">
        <f t="shared" si="22"/>
        <v>21.744350000000001</v>
      </c>
      <c r="O118" s="23">
        <f t="shared" si="22"/>
        <v>31.744350000000001</v>
      </c>
      <c r="P118" s="23">
        <f t="shared" si="22"/>
        <v>41.744349999999997</v>
      </c>
      <c r="Q118" s="23">
        <f t="shared" si="22"/>
        <v>51.744349999999997</v>
      </c>
      <c r="R118" s="23">
        <f t="shared" si="22"/>
        <v>61.744349999999997</v>
      </c>
      <c r="S118" s="23">
        <f t="shared" si="22"/>
        <v>71.744349999999997</v>
      </c>
      <c r="T118" s="23">
        <f t="shared" si="22"/>
        <v>81.744349999999997</v>
      </c>
      <c r="U118" s="23">
        <f t="shared" si="20"/>
        <v>91.744349999999997</v>
      </c>
      <c r="V118" s="220">
        <f t="shared" si="24"/>
        <v>59.382534052871193</v>
      </c>
      <c r="W118" s="220">
        <f t="shared" si="24"/>
        <v>44.986565040889388</v>
      </c>
      <c r="X118" s="220">
        <f t="shared" si="24"/>
        <v>37.182556458688467</v>
      </c>
      <c r="Y118" s="220">
        <f t="shared" si="24"/>
        <v>31.896704436850943</v>
      </c>
      <c r="Z118" s="220">
        <f t="shared" si="24"/>
        <v>27.931776040192322</v>
      </c>
      <c r="AA118" s="220">
        <f t="shared" si="24"/>
        <v>24.775937169280514</v>
      </c>
      <c r="AB118" s="220">
        <f t="shared" si="24"/>
        <v>22.164393813486246</v>
      </c>
      <c r="AC118" s="220">
        <f t="shared" si="24"/>
        <v>19.94291603819104</v>
      </c>
      <c r="AD118" s="220">
        <f t="shared" si="24"/>
        <v>18.014038145601322</v>
      </c>
      <c r="AE118" s="220">
        <f t="shared" si="24"/>
        <v>16.312370556436125</v>
      </c>
    </row>
    <row r="119" spans="5:31" x14ac:dyDescent="0.25">
      <c r="E119" s="225">
        <v>1.14E-2</v>
      </c>
      <c r="F119" s="222">
        <f t="shared" si="15"/>
        <v>11.4</v>
      </c>
      <c r="G119" s="23">
        <f t="shared" si="23"/>
        <v>-48.505700000000004</v>
      </c>
      <c r="H119" s="23">
        <f t="shared" si="22"/>
        <v>-38.505700000000004</v>
      </c>
      <c r="I119" s="23">
        <f t="shared" si="22"/>
        <v>-28.505700000000001</v>
      </c>
      <c r="J119" s="23">
        <f t="shared" si="22"/>
        <v>-18.505700000000001</v>
      </c>
      <c r="K119" s="23">
        <f t="shared" si="22"/>
        <v>-8.5057000000000009</v>
      </c>
      <c r="L119" s="23">
        <f t="shared" si="22"/>
        <v>1.4942999999999991</v>
      </c>
      <c r="M119" s="23">
        <f t="shared" si="22"/>
        <v>11.494299999999999</v>
      </c>
      <c r="N119" s="23">
        <f t="shared" si="22"/>
        <v>21.494299999999999</v>
      </c>
      <c r="O119" s="23">
        <f t="shared" si="22"/>
        <v>31.494299999999999</v>
      </c>
      <c r="P119" s="23">
        <f t="shared" si="22"/>
        <v>41.494299999999996</v>
      </c>
      <c r="Q119" s="23">
        <f t="shared" si="22"/>
        <v>51.494299999999996</v>
      </c>
      <c r="R119" s="23">
        <f t="shared" si="22"/>
        <v>61.494299999999996</v>
      </c>
      <c r="S119" s="23">
        <f t="shared" si="22"/>
        <v>71.494299999999996</v>
      </c>
      <c r="T119" s="23">
        <f t="shared" si="22"/>
        <v>81.494299999999996</v>
      </c>
      <c r="U119" s="23">
        <f t="shared" si="20"/>
        <v>91.494299999999996</v>
      </c>
      <c r="V119" s="220">
        <f t="shared" si="24"/>
        <v>59.582243071394728</v>
      </c>
      <c r="W119" s="220">
        <f t="shared" si="24"/>
        <v>45.166111307671414</v>
      </c>
      <c r="X119" s="220">
        <f t="shared" si="24"/>
        <v>37.351529424440088</v>
      </c>
      <c r="Y119" s="220">
        <f t="shared" si="24"/>
        <v>32.058658352211495</v>
      </c>
      <c r="Z119" s="220">
        <f t="shared" si="24"/>
        <v>28.088540496203581</v>
      </c>
      <c r="AA119" s="220">
        <f t="shared" si="24"/>
        <v>24.928617418096994</v>
      </c>
      <c r="AB119" s="220">
        <f t="shared" si="24"/>
        <v>22.313725288984816</v>
      </c>
      <c r="AC119" s="220">
        <f t="shared" si="24"/>
        <v>20.089421031954021</v>
      </c>
      <c r="AD119" s="220">
        <f t="shared" si="24"/>
        <v>18.158105432260687</v>
      </c>
      <c r="AE119" s="220">
        <f t="shared" si="24"/>
        <v>16.454300006605624</v>
      </c>
    </row>
    <row r="120" spans="5:31" x14ac:dyDescent="0.25">
      <c r="E120" s="225">
        <v>1.15E-2</v>
      </c>
      <c r="F120" s="222">
        <f t="shared" si="15"/>
        <v>11.5</v>
      </c>
      <c r="G120" s="23">
        <f t="shared" si="23"/>
        <v>-48.755749999999999</v>
      </c>
      <c r="H120" s="23">
        <f t="shared" si="22"/>
        <v>-38.755749999999999</v>
      </c>
      <c r="I120" s="23">
        <f t="shared" si="22"/>
        <v>-28.755749999999999</v>
      </c>
      <c r="J120" s="23">
        <f t="shared" si="22"/>
        <v>-18.755749999999999</v>
      </c>
      <c r="K120" s="23">
        <f t="shared" si="22"/>
        <v>-8.755749999999999</v>
      </c>
      <c r="L120" s="23">
        <f t="shared" si="22"/>
        <v>1.244250000000001</v>
      </c>
      <c r="M120" s="23">
        <f t="shared" si="22"/>
        <v>11.244250000000001</v>
      </c>
      <c r="N120" s="23">
        <f t="shared" si="22"/>
        <v>21.244250000000001</v>
      </c>
      <c r="O120" s="23">
        <f t="shared" si="22"/>
        <v>31.244250000000001</v>
      </c>
      <c r="P120" s="23">
        <f t="shared" si="22"/>
        <v>41.244250000000001</v>
      </c>
      <c r="Q120" s="23">
        <f t="shared" si="22"/>
        <v>51.244250000000001</v>
      </c>
      <c r="R120" s="23">
        <f t="shared" si="22"/>
        <v>61.244250000000001</v>
      </c>
      <c r="S120" s="23">
        <f t="shared" si="22"/>
        <v>71.244249999999994</v>
      </c>
      <c r="T120" s="23">
        <f t="shared" si="22"/>
        <v>81.244249999999994</v>
      </c>
      <c r="U120" s="23">
        <f t="shared" si="20"/>
        <v>91.244249999999994</v>
      </c>
      <c r="V120" s="220">
        <f t="shared" si="24"/>
        <v>59.780574671616485</v>
      </c>
      <c r="W120" s="220">
        <f t="shared" si="24"/>
        <v>45.344397960323455</v>
      </c>
      <c r="X120" s="220">
        <f t="shared" si="24"/>
        <v>37.519304860211555</v>
      </c>
      <c r="Y120" s="220">
        <f t="shared" si="24"/>
        <v>32.21945606311094</v>
      </c>
      <c r="Z120" s="220">
        <f t="shared" si="24"/>
        <v>28.244179356209173</v>
      </c>
      <c r="AA120" s="220">
        <f t="shared" si="24"/>
        <v>25.080196192140811</v>
      </c>
      <c r="AB120" s="220">
        <f t="shared" si="24"/>
        <v>22.461975087795786</v>
      </c>
      <c r="AC120" s="220">
        <f t="shared" si="24"/>
        <v>20.234861073195709</v>
      </c>
      <c r="AD120" s="220">
        <f t="shared" si="24"/>
        <v>18.301122200187272</v>
      </c>
      <c r="AE120" s="220">
        <f t="shared" si="24"/>
        <v>16.595191603735707</v>
      </c>
    </row>
    <row r="121" spans="5:31" x14ac:dyDescent="0.25">
      <c r="E121" s="225">
        <v>1.1599999999999999E-2</v>
      </c>
      <c r="F121" s="222">
        <f t="shared" si="15"/>
        <v>11.6</v>
      </c>
      <c r="G121" s="23">
        <f t="shared" si="23"/>
        <v>-49.005799999999994</v>
      </c>
      <c r="H121" s="23">
        <f t="shared" si="22"/>
        <v>-39.005799999999994</v>
      </c>
      <c r="I121" s="23">
        <f t="shared" si="22"/>
        <v>-29.005799999999997</v>
      </c>
      <c r="J121" s="23">
        <f t="shared" si="22"/>
        <v>-19.005799999999997</v>
      </c>
      <c r="K121" s="23">
        <f t="shared" si="22"/>
        <v>-9.0057999999999971</v>
      </c>
      <c r="L121" s="23">
        <f t="shared" si="22"/>
        <v>0.99420000000000286</v>
      </c>
      <c r="M121" s="23">
        <f t="shared" si="22"/>
        <v>10.994200000000003</v>
      </c>
      <c r="N121" s="23">
        <f t="shared" si="22"/>
        <v>20.994200000000003</v>
      </c>
      <c r="O121" s="23">
        <f t="shared" si="22"/>
        <v>30.994200000000003</v>
      </c>
      <c r="P121" s="23">
        <f t="shared" si="22"/>
        <v>40.994200000000006</v>
      </c>
      <c r="Q121" s="23">
        <f t="shared" si="22"/>
        <v>50.994200000000006</v>
      </c>
      <c r="R121" s="23">
        <f t="shared" si="22"/>
        <v>60.994200000000006</v>
      </c>
      <c r="S121" s="23">
        <f t="shared" si="22"/>
        <v>70.994200000000006</v>
      </c>
      <c r="T121" s="23">
        <f t="shared" si="22"/>
        <v>80.994200000000006</v>
      </c>
      <c r="U121" s="23">
        <f t="shared" si="20"/>
        <v>90.994200000000006</v>
      </c>
      <c r="V121" s="220">
        <f t="shared" si="24"/>
        <v>59.977551433775517</v>
      </c>
      <c r="W121" s="220">
        <f t="shared" si="24"/>
        <v>45.521445707137786</v>
      </c>
      <c r="X121" s="220">
        <f t="shared" si="24"/>
        <v>37.685902484462048</v>
      </c>
      <c r="Y121" s="220">
        <f t="shared" si="24"/>
        <v>32.379116627832857</v>
      </c>
      <c r="Z121" s="220">
        <f t="shared" si="24"/>
        <v>28.398711188834522</v>
      </c>
      <c r="AA121" s="220">
        <f t="shared" si="24"/>
        <v>25.230691673739283</v>
      </c>
      <c r="AB121" s="220">
        <f t="shared" si="24"/>
        <v>22.609161074903351</v>
      </c>
      <c r="AC121" s="220">
        <f t="shared" si="24"/>
        <v>20.379253758630465</v>
      </c>
      <c r="AD121" s="220">
        <f t="shared" si="24"/>
        <v>18.443105814417702</v>
      </c>
      <c r="AE121" s="220">
        <f t="shared" si="24"/>
        <v>16.735062509451421</v>
      </c>
    </row>
    <row r="122" spans="5:31" x14ac:dyDescent="0.25">
      <c r="E122" s="225">
        <v>1.17E-2</v>
      </c>
      <c r="F122" s="222">
        <f t="shared" si="15"/>
        <v>11.700000000000001</v>
      </c>
      <c r="G122" s="23">
        <f t="shared" si="23"/>
        <v>-49.255850000000002</v>
      </c>
      <c r="H122" s="23">
        <f t="shared" si="22"/>
        <v>-39.255850000000002</v>
      </c>
      <c r="I122" s="23">
        <f t="shared" si="22"/>
        <v>-29.255850000000002</v>
      </c>
      <c r="J122" s="23">
        <f t="shared" si="22"/>
        <v>-19.255850000000002</v>
      </c>
      <c r="K122" s="23">
        <f t="shared" si="22"/>
        <v>-9.2558500000000024</v>
      </c>
      <c r="L122" s="23">
        <f t="shared" si="22"/>
        <v>0.74414999999999765</v>
      </c>
      <c r="M122" s="23">
        <f t="shared" si="22"/>
        <v>10.744149999999998</v>
      </c>
      <c r="N122" s="23">
        <f t="shared" si="22"/>
        <v>20.744149999999998</v>
      </c>
      <c r="O122" s="23">
        <f t="shared" si="22"/>
        <v>30.744149999999998</v>
      </c>
      <c r="P122" s="23">
        <f t="shared" si="22"/>
        <v>40.744149999999998</v>
      </c>
      <c r="Q122" s="23">
        <f t="shared" si="22"/>
        <v>50.744149999999998</v>
      </c>
      <c r="R122" s="23">
        <f t="shared" si="22"/>
        <v>60.744149999999998</v>
      </c>
      <c r="S122" s="23">
        <f t="shared" si="22"/>
        <v>70.744149999999991</v>
      </c>
      <c r="T122" s="23">
        <f t="shared" si="22"/>
        <v>80.744149999999991</v>
      </c>
      <c r="U122" s="23">
        <f t="shared" si="20"/>
        <v>90.744149999999991</v>
      </c>
      <c r="V122" s="220">
        <f t="shared" si="24"/>
        <v>60.173195378811222</v>
      </c>
      <c r="W122" s="220">
        <f t="shared" si="24"/>
        <v>45.697274742553255</v>
      </c>
      <c r="X122" s="220">
        <f t="shared" si="24"/>
        <v>37.851341525877878</v>
      </c>
      <c r="Y122" s="220">
        <f t="shared" si="24"/>
        <v>32.537658630968515</v>
      </c>
      <c r="Z122" s="220">
        <f t="shared" si="24"/>
        <v>28.55215410095024</v>
      </c>
      <c r="AA122" s="220">
        <f t="shared" si="24"/>
        <v>25.380121592889004</v>
      </c>
      <c r="AB122" s="220">
        <f t="shared" si="24"/>
        <v>22.755300670707115</v>
      </c>
      <c r="AC122" s="220">
        <f t="shared" si="24"/>
        <v>20.522616246939315</v>
      </c>
      <c r="AD122" s="220">
        <f t="shared" si="24"/>
        <v>18.584073207615219</v>
      </c>
      <c r="AE122" s="220">
        <f t="shared" si="24"/>
        <v>16.873929457975933</v>
      </c>
    </row>
    <row r="123" spans="5:31" x14ac:dyDescent="0.25">
      <c r="E123" s="225">
        <v>1.18E-2</v>
      </c>
      <c r="F123" s="222">
        <f t="shared" si="15"/>
        <v>11.799999999999999</v>
      </c>
      <c r="G123" s="23">
        <f t="shared" si="23"/>
        <v>-49.505899999999997</v>
      </c>
      <c r="H123" s="23">
        <f t="shared" si="22"/>
        <v>-39.505899999999997</v>
      </c>
      <c r="I123" s="23">
        <f t="shared" si="22"/>
        <v>-29.5059</v>
      </c>
      <c r="J123" s="23">
        <f t="shared" si="22"/>
        <v>-19.5059</v>
      </c>
      <c r="K123" s="23">
        <f t="shared" si="22"/>
        <v>-9.5059000000000005</v>
      </c>
      <c r="L123" s="23">
        <f t="shared" si="22"/>
        <v>0.49409999999999954</v>
      </c>
      <c r="M123" s="23">
        <f t="shared" si="22"/>
        <v>10.4941</v>
      </c>
      <c r="N123" s="23">
        <f t="shared" si="22"/>
        <v>20.4941</v>
      </c>
      <c r="O123" s="23">
        <f t="shared" si="22"/>
        <v>30.4941</v>
      </c>
      <c r="P123" s="23">
        <f t="shared" si="22"/>
        <v>40.494100000000003</v>
      </c>
      <c r="Q123" s="23">
        <f t="shared" si="22"/>
        <v>50.494100000000003</v>
      </c>
      <c r="R123" s="23">
        <f t="shared" si="22"/>
        <v>60.494100000000003</v>
      </c>
      <c r="S123" s="23">
        <f t="shared" si="22"/>
        <v>70.494100000000003</v>
      </c>
      <c r="T123" s="23">
        <f t="shared" si="22"/>
        <v>80.494100000000003</v>
      </c>
      <c r="U123" s="23">
        <f t="shared" si="20"/>
        <v>90.494100000000003</v>
      </c>
      <c r="V123" s="220">
        <f t="shared" si="24"/>
        <v>60.367527986855066</v>
      </c>
      <c r="W123" s="220">
        <f t="shared" si="24"/>
        <v>45.871904764166146</v>
      </c>
      <c r="X123" s="220">
        <f t="shared" si="24"/>
        <v>38.0156407395976</v>
      </c>
      <c r="Y123" s="220">
        <f t="shared" si="24"/>
        <v>32.695100199116681</v>
      </c>
      <c r="Z123" s="220">
        <f t="shared" si="24"/>
        <v>28.704525752981784</v>
      </c>
      <c r="AA123" s="220">
        <f t="shared" si="24"/>
        <v>25.528503242257326</v>
      </c>
      <c r="AB123" s="220">
        <f t="shared" si="24"/>
        <v>22.900410865770152</v>
      </c>
      <c r="AC123" s="220">
        <f t="shared" si="24"/>
        <v>20.664965273303746</v>
      </c>
      <c r="AD123" s="220">
        <f t="shared" si="24"/>
        <v>18.724040894418227</v>
      </c>
      <c r="AE123" s="220">
        <f t="shared" si="24"/>
        <v>17.01180877031565</v>
      </c>
    </row>
    <row r="124" spans="5:31" x14ac:dyDescent="0.25">
      <c r="E124" s="225">
        <v>1.1900000000000001E-2</v>
      </c>
      <c r="F124" s="222">
        <f t="shared" si="15"/>
        <v>11.9</v>
      </c>
      <c r="G124" s="23">
        <f t="shared" si="23"/>
        <v>-49.755949999999999</v>
      </c>
      <c r="H124" s="23">
        <f t="shared" si="22"/>
        <v>-39.755949999999999</v>
      </c>
      <c r="I124" s="23">
        <f t="shared" si="22"/>
        <v>-29.755950000000002</v>
      </c>
      <c r="J124" s="23">
        <f t="shared" si="22"/>
        <v>-19.755950000000002</v>
      </c>
      <c r="K124" s="23">
        <f t="shared" si="22"/>
        <v>-9.7559500000000021</v>
      </c>
      <c r="L124" s="23">
        <f t="shared" si="22"/>
        <v>0.24404999999999788</v>
      </c>
      <c r="M124" s="23">
        <f t="shared" si="22"/>
        <v>10.244049999999998</v>
      </c>
      <c r="N124" s="23">
        <f t="shared" si="22"/>
        <v>20.244049999999998</v>
      </c>
      <c r="O124" s="23">
        <f t="shared" si="22"/>
        <v>30.244049999999998</v>
      </c>
      <c r="P124" s="23">
        <f t="shared" si="22"/>
        <v>40.244050000000001</v>
      </c>
      <c r="Q124" s="23">
        <f t="shared" si="22"/>
        <v>50.244050000000001</v>
      </c>
      <c r="R124" s="23">
        <f t="shared" si="22"/>
        <v>60.244050000000001</v>
      </c>
      <c r="S124" s="23">
        <f t="shared" si="22"/>
        <v>70.244050000000001</v>
      </c>
      <c r="T124" s="23">
        <f t="shared" si="22"/>
        <v>80.244050000000001</v>
      </c>
      <c r="U124" s="23">
        <f t="shared" si="20"/>
        <v>90.244050000000001</v>
      </c>
      <c r="V124" s="220">
        <f t="shared" si="24"/>
        <v>60.61088832238228</v>
      </c>
      <c r="W124" s="220">
        <f t="shared" si="24"/>
        <v>46.045354989038955</v>
      </c>
      <c r="X124" s="220">
        <f t="shared" si="24"/>
        <v>38.178818422766952</v>
      </c>
      <c r="Y124" s="220">
        <f t="shared" si="24"/>
        <v>32.851459015934878</v>
      </c>
      <c r="Z124" s="220">
        <f t="shared" si="24"/>
        <v>28.855843373586605</v>
      </c>
      <c r="AA124" s="220">
        <f t="shared" si="24"/>
        <v>25.675853491563959</v>
      </c>
      <c r="AB124" s="220">
        <f t="shared" si="24"/>
        <v>23.044508234957643</v>
      </c>
      <c r="AC124" s="220">
        <f t="shared" si="24"/>
        <v>20.806317163338665</v>
      </c>
      <c r="AD124" s="220">
        <f t="shared" si="24"/>
        <v>18.863024985195597</v>
      </c>
      <c r="AE124" s="220">
        <f t="shared" si="24"/>
        <v>17.148716367860029</v>
      </c>
    </row>
    <row r="125" spans="5:31" x14ac:dyDescent="0.25">
      <c r="E125" s="225">
        <v>1.2E-2</v>
      </c>
      <c r="F125" s="222">
        <f t="shared" si="15"/>
        <v>12</v>
      </c>
      <c r="G125" s="23">
        <f t="shared" si="23"/>
        <v>-50.006</v>
      </c>
      <c r="H125" s="23">
        <f t="shared" si="22"/>
        <v>-40.006</v>
      </c>
      <c r="I125" s="23">
        <f t="shared" si="22"/>
        <v>-30.006</v>
      </c>
      <c r="J125" s="23">
        <f t="shared" si="22"/>
        <v>-20.006</v>
      </c>
      <c r="K125" s="23">
        <f t="shared" si="22"/>
        <v>-10.006</v>
      </c>
      <c r="L125" s="23">
        <f t="shared" si="22"/>
        <v>-6.0000000000002274E-3</v>
      </c>
      <c r="M125" s="23">
        <f t="shared" si="22"/>
        <v>9.9939999999999998</v>
      </c>
      <c r="N125" s="23">
        <f t="shared" si="22"/>
        <v>19.994</v>
      </c>
      <c r="O125" s="23">
        <f t="shared" si="22"/>
        <v>29.994</v>
      </c>
      <c r="P125" s="23">
        <f t="shared" si="22"/>
        <v>39.994</v>
      </c>
      <c r="Q125" s="23">
        <f t="shared" si="22"/>
        <v>49.994</v>
      </c>
      <c r="R125" s="23">
        <f t="shared" si="22"/>
        <v>59.994</v>
      </c>
      <c r="S125" s="23">
        <f t="shared" si="22"/>
        <v>69.994</v>
      </c>
      <c r="T125" s="23">
        <f t="shared" si="22"/>
        <v>79.994</v>
      </c>
      <c r="U125" s="23">
        <f t="shared" si="20"/>
        <v>89.994</v>
      </c>
      <c r="V125" s="220">
        <f t="shared" si="24"/>
        <v>60.803234756477536</v>
      </c>
      <c r="W125" s="220">
        <f t="shared" si="24"/>
        <v>46.21764416934181</v>
      </c>
      <c r="X125" s="220">
        <f t="shared" si="24"/>
        <v>38.340892429457128</v>
      </c>
      <c r="Y125" s="220">
        <f t="shared" si="24"/>
        <v>33.006752336574223</v>
      </c>
      <c r="Z125" s="220">
        <f t="shared" si="24"/>
        <v>29.006123773729939</v>
      </c>
      <c r="AA125" s="220">
        <f t="shared" si="24"/>
        <v>25.822188801373215</v>
      </c>
      <c r="AB125" s="220">
        <f t="shared" si="24"/>
        <v>23.187608950995909</v>
      </c>
      <c r="AC125" s="220">
        <f t="shared" si="24"/>
        <v>20.946687846454203</v>
      </c>
      <c r="AD125" s="220">
        <f t="shared" si="24"/>
        <v>19.001041199238017</v>
      </c>
      <c r="AE125" s="220">
        <f t="shared" si="24"/>
        <v>17.284667785422776</v>
      </c>
    </row>
    <row r="126" spans="5:31" x14ac:dyDescent="0.25">
      <c r="E126" s="225">
        <v>1.21E-2</v>
      </c>
      <c r="F126" s="222">
        <f t="shared" si="15"/>
        <v>12.1</v>
      </c>
      <c r="G126" s="23">
        <f t="shared" si="23"/>
        <v>-50.256050000000002</v>
      </c>
      <c r="H126" s="23">
        <f t="shared" si="22"/>
        <v>-40.256050000000002</v>
      </c>
      <c r="I126" s="23">
        <f t="shared" si="22"/>
        <v>-30.256049999999998</v>
      </c>
      <c r="J126" s="23">
        <f t="shared" si="22"/>
        <v>-20.256049999999998</v>
      </c>
      <c r="K126" s="23">
        <f t="shared" si="22"/>
        <v>-10.256049999999998</v>
      </c>
      <c r="L126" s="23">
        <f t="shared" si="22"/>
        <v>-0.25604999999999833</v>
      </c>
      <c r="M126" s="23">
        <f t="shared" si="22"/>
        <v>9.7439500000000017</v>
      </c>
      <c r="N126" s="23">
        <f t="shared" si="22"/>
        <v>19.743950000000002</v>
      </c>
      <c r="O126" s="23">
        <f t="shared" si="22"/>
        <v>29.743950000000002</v>
      </c>
      <c r="P126" s="23">
        <f t="shared" si="22"/>
        <v>39.743949999999998</v>
      </c>
      <c r="Q126" s="23">
        <f t="shared" si="22"/>
        <v>49.743949999999998</v>
      </c>
      <c r="R126" s="23">
        <f t="shared" si="22"/>
        <v>59.743949999999998</v>
      </c>
      <c r="S126" s="23">
        <f t="shared" si="22"/>
        <v>69.743949999999998</v>
      </c>
      <c r="T126" s="23">
        <f t="shared" si="22"/>
        <v>79.743949999999998</v>
      </c>
      <c r="U126" s="23">
        <f t="shared" si="20"/>
        <v>89.743949999999998</v>
      </c>
      <c r="V126" s="220">
        <f t="shared" ref="V126:AE135" si="25">Enthalpie_p_phi_x(hx_druck,V$4,$E126)-$E126*R0()</f>
        <v>60.994333530397128</v>
      </c>
      <c r="W126" s="220">
        <f t="shared" si="25"/>
        <v>46.38879060735924</v>
      </c>
      <c r="X126" s="220">
        <f t="shared" si="25"/>
        <v>38.501880184977225</v>
      </c>
      <c r="Y126" s="220">
        <f t="shared" si="25"/>
        <v>33.160997001528045</v>
      </c>
      <c r="Z126" s="220">
        <f t="shared" si="25"/>
        <v>29.155383360188697</v>
      </c>
      <c r="AA126" s="220">
        <f t="shared" si="25"/>
        <v>25.967525236325731</v>
      </c>
      <c r="AB126" s="220">
        <f t="shared" si="25"/>
        <v>23.329728797480389</v>
      </c>
      <c r="AC126" s="220">
        <f t="shared" si="25"/>
        <v>21.086092868674388</v>
      </c>
      <c r="AD126" s="220">
        <f t="shared" si="25"/>
        <v>19.138104877412975</v>
      </c>
      <c r="AE126" s="220">
        <f t="shared" si="25"/>
        <v>17.41967818375311</v>
      </c>
    </row>
    <row r="127" spans="5:31" x14ac:dyDescent="0.25">
      <c r="E127" s="225">
        <v>1.2200000000000001E-2</v>
      </c>
      <c r="F127" s="222">
        <f t="shared" si="15"/>
        <v>12.200000000000001</v>
      </c>
      <c r="G127" s="23">
        <f t="shared" si="23"/>
        <v>-50.506100000000004</v>
      </c>
      <c r="H127" s="23">
        <f t="shared" si="22"/>
        <v>-40.506100000000004</v>
      </c>
      <c r="I127" s="23">
        <f t="shared" si="22"/>
        <v>-30.506100000000004</v>
      </c>
      <c r="J127" s="23">
        <f t="shared" si="22"/>
        <v>-20.506100000000004</v>
      </c>
      <c r="K127" s="23">
        <f t="shared" si="22"/>
        <v>-10.506100000000004</v>
      </c>
      <c r="L127" s="23">
        <f t="shared" si="22"/>
        <v>-0.50610000000000355</v>
      </c>
      <c r="M127" s="23">
        <f t="shared" si="22"/>
        <v>9.4938999999999965</v>
      </c>
      <c r="N127" s="23">
        <f t="shared" si="22"/>
        <v>19.493899999999996</v>
      </c>
      <c r="O127" s="23">
        <f t="shared" si="22"/>
        <v>29.493899999999996</v>
      </c>
      <c r="P127" s="23">
        <f t="shared" si="22"/>
        <v>39.493899999999996</v>
      </c>
      <c r="Q127" s="23">
        <f t="shared" si="22"/>
        <v>49.493899999999996</v>
      </c>
      <c r="R127" s="23">
        <f t="shared" si="22"/>
        <v>59.493899999999996</v>
      </c>
      <c r="S127" s="23">
        <f t="shared" si="22"/>
        <v>69.493899999999996</v>
      </c>
      <c r="T127" s="23">
        <f t="shared" si="22"/>
        <v>79.493899999999996</v>
      </c>
      <c r="U127" s="23">
        <f t="shared" si="20"/>
        <v>89.493899999999996</v>
      </c>
      <c r="V127" s="220">
        <f t="shared" si="25"/>
        <v>61.184204051856483</v>
      </c>
      <c r="W127" s="220">
        <f t="shared" si="25"/>
        <v>46.558812169892803</v>
      </c>
      <c r="X127" s="220">
        <f t="shared" si="25"/>
        <v>38.661798699610358</v>
      </c>
      <c r="Y127" s="220">
        <f t="shared" si="25"/>
        <v>33.314209449922423</v>
      </c>
      <c r="Z127" s="220">
        <f t="shared" si="25"/>
        <v>29.303638148511247</v>
      </c>
      <c r="AA127" s="220">
        <f t="shared" si="25"/>
        <v>26.111878477836918</v>
      </c>
      <c r="AB127" s="220">
        <f t="shared" si="25"/>
        <v>23.470883181359198</v>
      </c>
      <c r="AC127" s="220">
        <f t="shared" si="25"/>
        <v>21.224547404938882</v>
      </c>
      <c r="AD127" s="220">
        <f t="shared" si="25"/>
        <v>19.274230994309519</v>
      </c>
      <c r="AE127" s="220">
        <f t="shared" si="25"/>
        <v>17.553762361542695</v>
      </c>
    </row>
    <row r="128" spans="5:31" x14ac:dyDescent="0.25">
      <c r="E128" s="225">
        <v>1.23E-2</v>
      </c>
      <c r="F128" s="222">
        <f t="shared" si="15"/>
        <v>12.3</v>
      </c>
      <c r="G128" s="23">
        <f t="shared" si="23"/>
        <v>-50.756150000000005</v>
      </c>
      <c r="H128" s="23">
        <f t="shared" si="22"/>
        <v>-40.756150000000005</v>
      </c>
      <c r="I128" s="23">
        <f t="shared" si="22"/>
        <v>-30.756150000000002</v>
      </c>
      <c r="J128" s="23">
        <f t="shared" si="22"/>
        <v>-20.756150000000002</v>
      </c>
      <c r="K128" s="23">
        <f t="shared" si="22"/>
        <v>-10.756150000000002</v>
      </c>
      <c r="L128" s="23">
        <f t="shared" si="22"/>
        <v>-0.75615000000000165</v>
      </c>
      <c r="M128" s="23">
        <f t="shared" si="22"/>
        <v>9.2438499999999983</v>
      </c>
      <c r="N128" s="23">
        <f t="shared" si="22"/>
        <v>19.243849999999998</v>
      </c>
      <c r="O128" s="23">
        <f t="shared" si="22"/>
        <v>29.243849999999998</v>
      </c>
      <c r="P128" s="23">
        <f t="shared" si="22"/>
        <v>39.243849999999995</v>
      </c>
      <c r="Q128" s="23">
        <f t="shared" si="22"/>
        <v>49.243849999999995</v>
      </c>
      <c r="R128" s="23">
        <f t="shared" si="22"/>
        <v>59.243849999999995</v>
      </c>
      <c r="S128" s="23">
        <f t="shared" si="22"/>
        <v>69.243849999999995</v>
      </c>
      <c r="T128" s="23">
        <f t="shared" si="22"/>
        <v>79.243849999999995</v>
      </c>
      <c r="U128" s="23">
        <f t="shared" si="20"/>
        <v>89.243849999999995</v>
      </c>
      <c r="V128" s="220">
        <f t="shared" si="25"/>
        <v>61.372865271695375</v>
      </c>
      <c r="W128" s="220">
        <f t="shared" si="25"/>
        <v>46.727726302088854</v>
      </c>
      <c r="X128" s="220">
        <f t="shared" si="25"/>
        <v>38.820664581801182</v>
      </c>
      <c r="Y128" s="220">
        <f t="shared" si="25"/>
        <v>33.466405732275874</v>
      </c>
      <c r="Z128" s="220">
        <f t="shared" si="25"/>
        <v>29.450903775459285</v>
      </c>
      <c r="AA128" s="220">
        <f t="shared" si="25"/>
        <v>26.255263836287828</v>
      </c>
      <c r="AB128" s="220">
        <f t="shared" si="25"/>
        <v>23.611087144917587</v>
      </c>
      <c r="AC128" s="220">
        <f t="shared" si="25"/>
        <v>21.362066270912916</v>
      </c>
      <c r="AD128" s="220">
        <f t="shared" si="25"/>
        <v>19.409434169897256</v>
      </c>
      <c r="AE128" s="220">
        <f t="shared" si="25"/>
        <v>17.686934766952323</v>
      </c>
    </row>
    <row r="129" spans="5:31" x14ac:dyDescent="0.25">
      <c r="E129" s="225">
        <v>1.24E-2</v>
      </c>
      <c r="F129" s="222">
        <f t="shared" si="15"/>
        <v>12.4</v>
      </c>
      <c r="G129" s="23">
        <f t="shared" si="23"/>
        <v>-51.0062</v>
      </c>
      <c r="H129" s="23">
        <f t="shared" si="22"/>
        <v>-41.0062</v>
      </c>
      <c r="I129" s="23">
        <f t="shared" si="22"/>
        <v>-31.0062</v>
      </c>
      <c r="J129" s="23">
        <f t="shared" si="22"/>
        <v>-21.0062</v>
      </c>
      <c r="K129" s="23">
        <f t="shared" si="22"/>
        <v>-11.0062</v>
      </c>
      <c r="L129" s="23">
        <f t="shared" si="22"/>
        <v>-1.0061999999999998</v>
      </c>
      <c r="M129" s="23">
        <f t="shared" si="22"/>
        <v>8.9938000000000002</v>
      </c>
      <c r="N129" s="23">
        <f t="shared" si="22"/>
        <v>18.9938</v>
      </c>
      <c r="O129" s="23">
        <f t="shared" si="22"/>
        <v>28.9938</v>
      </c>
      <c r="P129" s="23">
        <f t="shared" si="22"/>
        <v>38.9938</v>
      </c>
      <c r="Q129" s="23">
        <f t="shared" si="22"/>
        <v>48.9938</v>
      </c>
      <c r="R129" s="23">
        <f t="shared" si="22"/>
        <v>58.9938</v>
      </c>
      <c r="S129" s="23">
        <f t="shared" si="22"/>
        <v>68.993799999999993</v>
      </c>
      <c r="T129" s="23">
        <f t="shared" si="22"/>
        <v>78.993799999999993</v>
      </c>
      <c r="U129" s="23">
        <f t="shared" si="20"/>
        <v>88.993799999999993</v>
      </c>
      <c r="V129" s="220">
        <f t="shared" si="25"/>
        <v>61.560335698248885</v>
      </c>
      <c r="W129" s="220">
        <f t="shared" si="25"/>
        <v>46.895550040718895</v>
      </c>
      <c r="X129" s="220">
        <f t="shared" si="25"/>
        <v>38.978494050820991</v>
      </c>
      <c r="Y129" s="220">
        <f t="shared" si="25"/>
        <v>33.617601522753311</v>
      </c>
      <c r="Z129" s="220">
        <f t="shared" si="25"/>
        <v>29.597195510956382</v>
      </c>
      <c r="AA129" s="220">
        <f t="shared" si="25"/>
        <v>26.397696262732573</v>
      </c>
      <c r="AB129" s="220">
        <f t="shared" si="25"/>
        <v>23.750355377287171</v>
      </c>
      <c r="AC129" s="220">
        <f t="shared" si="25"/>
        <v>21.498663934328683</v>
      </c>
      <c r="AD129" s="220">
        <f t="shared" si="25"/>
        <v>19.543728680722793</v>
      </c>
      <c r="AE129" s="220">
        <f t="shared" si="25"/>
        <v>17.819209508680267</v>
      </c>
    </row>
    <row r="130" spans="5:31" x14ac:dyDescent="0.25">
      <c r="E130" s="225">
        <v>1.2500000000000001E-2</v>
      </c>
      <c r="F130" s="222">
        <f t="shared" si="15"/>
        <v>12.5</v>
      </c>
      <c r="G130" s="23">
        <f t="shared" si="23"/>
        <v>-51.256250000000001</v>
      </c>
      <c r="H130" s="23">
        <f t="shared" si="22"/>
        <v>-41.256250000000001</v>
      </c>
      <c r="I130" s="23">
        <f t="shared" si="22"/>
        <v>-31.256250000000001</v>
      </c>
      <c r="J130" s="23">
        <f t="shared" si="22"/>
        <v>-21.256250000000001</v>
      </c>
      <c r="K130" s="23">
        <f t="shared" si="22"/>
        <v>-11.256250000000001</v>
      </c>
      <c r="L130" s="23">
        <f t="shared" si="22"/>
        <v>-1.2562500000000014</v>
      </c>
      <c r="M130" s="23">
        <f t="shared" si="22"/>
        <v>8.7437499999999986</v>
      </c>
      <c r="N130" s="23">
        <f t="shared" si="22"/>
        <v>18.743749999999999</v>
      </c>
      <c r="O130" s="23">
        <f t="shared" si="22"/>
        <v>28.743749999999999</v>
      </c>
      <c r="P130" s="23">
        <f t="shared" si="22"/>
        <v>38.743749999999999</v>
      </c>
      <c r="Q130" s="23">
        <f t="shared" si="22"/>
        <v>48.743749999999999</v>
      </c>
      <c r="R130" s="23">
        <f t="shared" si="22"/>
        <v>58.743749999999999</v>
      </c>
      <c r="S130" s="23">
        <f t="shared" si="22"/>
        <v>68.743750000000006</v>
      </c>
      <c r="T130" s="23">
        <f t="shared" si="22"/>
        <v>78.743750000000006</v>
      </c>
      <c r="U130" s="23">
        <f t="shared" si="20"/>
        <v>88.743750000000006</v>
      </c>
      <c r="V130" s="220">
        <f t="shared" si="25"/>
        <v>61.746633411154072</v>
      </c>
      <c r="W130" s="220">
        <f t="shared" si="25"/>
        <v>47.062300026938139</v>
      </c>
      <c r="X130" s="220">
        <f t="shared" si="25"/>
        <v>39.135302948934971</v>
      </c>
      <c r="Y130" s="220">
        <f t="shared" si="25"/>
        <v>33.767812130938204</v>
      </c>
      <c r="Z130" s="220">
        <f t="shared" si="25"/>
        <v>29.742528269566726</v>
      </c>
      <c r="AA130" s="220">
        <f t="shared" si="25"/>
        <v>26.539190360145277</v>
      </c>
      <c r="AB130" s="220">
        <f t="shared" si="25"/>
        <v>23.888702225502264</v>
      </c>
      <c r="AC130" s="220">
        <f t="shared" si="25"/>
        <v>21.634354525880553</v>
      </c>
      <c r="AD130" s="220">
        <f t="shared" si="25"/>
        <v>19.677128470665707</v>
      </c>
      <c r="AE130" s="220">
        <f t="shared" si="25"/>
        <v>17.950600366596639</v>
      </c>
    </row>
    <row r="131" spans="5:31" x14ac:dyDescent="0.25">
      <c r="E131" s="225">
        <v>1.26E-2</v>
      </c>
      <c r="F131" s="222">
        <f t="shared" si="15"/>
        <v>12.6</v>
      </c>
      <c r="G131" s="23">
        <f t="shared" si="23"/>
        <v>-51.506299999999996</v>
      </c>
      <c r="H131" s="23">
        <f t="shared" si="22"/>
        <v>-41.506299999999996</v>
      </c>
      <c r="I131" s="23">
        <f t="shared" si="22"/>
        <v>-31.5063</v>
      </c>
      <c r="J131" s="23">
        <f t="shared" si="22"/>
        <v>-21.5063</v>
      </c>
      <c r="K131" s="23">
        <f t="shared" si="22"/>
        <v>-11.5063</v>
      </c>
      <c r="L131" s="23">
        <f t="shared" si="22"/>
        <v>-1.5062999999999995</v>
      </c>
      <c r="M131" s="23">
        <f t="shared" si="22"/>
        <v>8.4937000000000005</v>
      </c>
      <c r="N131" s="23">
        <f t="shared" si="22"/>
        <v>18.4937</v>
      </c>
      <c r="O131" s="23">
        <f t="shared" si="22"/>
        <v>28.4937</v>
      </c>
      <c r="P131" s="23">
        <f t="shared" si="22"/>
        <v>38.493700000000004</v>
      </c>
      <c r="Q131" s="23">
        <f t="shared" si="22"/>
        <v>48.493700000000004</v>
      </c>
      <c r="R131" s="23">
        <f t="shared" si="22"/>
        <v>58.493700000000004</v>
      </c>
      <c r="S131" s="23">
        <f t="shared" si="22"/>
        <v>68.493700000000004</v>
      </c>
      <c r="T131" s="23">
        <f t="shared" si="22"/>
        <v>78.493700000000004</v>
      </c>
      <c r="U131" s="23">
        <f t="shared" si="20"/>
        <v>88.493700000000004</v>
      </c>
      <c r="V131" s="220">
        <f t="shared" si="25"/>
        <v>61.931776074619393</v>
      </c>
      <c r="W131" s="220">
        <f t="shared" si="25"/>
        <v>47.227992518547168</v>
      </c>
      <c r="X131" s="220">
        <f t="shared" si="25"/>
        <v>39.291106753095292</v>
      </c>
      <c r="Y131" s="220">
        <f t="shared" si="25"/>
        <v>33.917052513145748</v>
      </c>
      <c r="Z131" s="220">
        <f t="shared" si="25"/>
        <v>29.886916621526115</v>
      </c>
      <c r="AA131" s="220">
        <f t="shared" si="25"/>
        <v>26.679760394228264</v>
      </c>
      <c r="AB131" s="220">
        <f t="shared" si="25"/>
        <v>24.026141705124854</v>
      </c>
      <c r="AC131" s="220">
        <f t="shared" si="25"/>
        <v>21.769151849695053</v>
      </c>
      <c r="AD131" s="220">
        <f t="shared" si="25"/>
        <v>19.809647161274508</v>
      </c>
      <c r="AE131" s="220">
        <f t="shared" si="25"/>
        <v>18.081120801961344</v>
      </c>
    </row>
    <row r="132" spans="5:31" x14ac:dyDescent="0.25">
      <c r="E132" s="225">
        <v>1.2699999999999999E-2</v>
      </c>
      <c r="F132" s="222">
        <f t="shared" si="15"/>
        <v>12.7</v>
      </c>
      <c r="G132" s="23">
        <f t="shared" si="23"/>
        <v>-51.756349999999998</v>
      </c>
      <c r="H132" s="23">
        <f t="shared" si="22"/>
        <v>-41.756349999999998</v>
      </c>
      <c r="I132" s="23">
        <f t="shared" si="22"/>
        <v>-31.756349999999998</v>
      </c>
      <c r="J132" s="23">
        <f t="shared" si="22"/>
        <v>-21.756349999999998</v>
      </c>
      <c r="K132" s="23">
        <f t="shared" si="22"/>
        <v>-11.756349999999998</v>
      </c>
      <c r="L132" s="23">
        <f t="shared" si="22"/>
        <v>-1.7563499999999976</v>
      </c>
      <c r="M132" s="23">
        <f t="shared" si="22"/>
        <v>8.2436500000000024</v>
      </c>
      <c r="N132" s="23">
        <f t="shared" si="22"/>
        <v>18.243650000000002</v>
      </c>
      <c r="O132" s="23">
        <f t="shared" si="22"/>
        <v>28.243650000000002</v>
      </c>
      <c r="P132" s="23">
        <f t="shared" si="22"/>
        <v>38.243650000000002</v>
      </c>
      <c r="Q132" s="23">
        <f t="shared" si="22"/>
        <v>48.243650000000002</v>
      </c>
      <c r="R132" s="23">
        <f t="shared" si="22"/>
        <v>58.243650000000002</v>
      </c>
      <c r="S132" s="23">
        <f t="shared" si="22"/>
        <v>68.243650000000002</v>
      </c>
      <c r="T132" s="23">
        <f t="shared" si="22"/>
        <v>78.243650000000002</v>
      </c>
      <c r="U132" s="23">
        <f t="shared" si="20"/>
        <v>88.243650000000002</v>
      </c>
      <c r="V132" s="220">
        <f t="shared" si="25"/>
        <v>62.115780950181204</v>
      </c>
      <c r="W132" s="220">
        <f t="shared" si="25"/>
        <v>47.392643401779424</v>
      </c>
      <c r="X132" s="220">
        <f t="shared" si="25"/>
        <v>39.44592058618187</v>
      </c>
      <c r="Y132" s="220">
        <f t="shared" si="25"/>
        <v>34.065337283298248</v>
      </c>
      <c r="Z132" s="220">
        <f t="shared" si="25"/>
        <v>30.030374803345978</v>
      </c>
      <c r="AA132" s="220">
        <f t="shared" si="25"/>
        <v>26.819420303801792</v>
      </c>
      <c r="AB132" s="220">
        <f t="shared" si="25"/>
        <v>24.162687510458142</v>
      </c>
      <c r="AC132" s="220">
        <f t="shared" si="25"/>
        <v>21.903069393395299</v>
      </c>
      <c r="AD132" s="220">
        <f t="shared" si="25"/>
        <v>19.941298061702355</v>
      </c>
      <c r="AE132" s="220">
        <f t="shared" si="25"/>
        <v>18.210783967246684</v>
      </c>
    </row>
    <row r="133" spans="5:31" x14ac:dyDescent="0.25">
      <c r="E133" s="225">
        <v>1.2800000000000001E-2</v>
      </c>
      <c r="F133" s="222">
        <f t="shared" si="15"/>
        <v>12.8</v>
      </c>
      <c r="G133" s="23">
        <f t="shared" si="23"/>
        <v>-52.006399999999999</v>
      </c>
      <c r="H133" s="23">
        <f t="shared" si="22"/>
        <v>-42.006399999999999</v>
      </c>
      <c r="I133" s="23">
        <f t="shared" si="22"/>
        <v>-32.006399999999999</v>
      </c>
      <c r="J133" s="23">
        <f t="shared" si="22"/>
        <v>-22.006399999999999</v>
      </c>
      <c r="K133" s="23">
        <f t="shared" si="22"/>
        <v>-12.006399999999999</v>
      </c>
      <c r="L133" s="23">
        <f t="shared" si="22"/>
        <v>-2.0063999999999993</v>
      </c>
      <c r="M133" s="23">
        <f t="shared" si="22"/>
        <v>7.9936000000000007</v>
      </c>
      <c r="N133" s="23">
        <f t="shared" si="22"/>
        <v>17.993600000000001</v>
      </c>
      <c r="O133" s="23">
        <f t="shared" si="22"/>
        <v>27.993600000000001</v>
      </c>
      <c r="P133" s="23">
        <f t="shared" si="22"/>
        <v>37.993600000000001</v>
      </c>
      <c r="Q133" s="23">
        <f t="shared" si="22"/>
        <v>47.993600000000001</v>
      </c>
      <c r="R133" s="23">
        <f t="shared" si="22"/>
        <v>57.993600000000001</v>
      </c>
      <c r="S133" s="23">
        <f t="shared" si="22"/>
        <v>67.993600000000001</v>
      </c>
      <c r="T133" s="23">
        <f t="shared" si="22"/>
        <v>77.993600000000001</v>
      </c>
      <c r="U133" s="23">
        <f t="shared" si="20"/>
        <v>87.993600000000001</v>
      </c>
      <c r="V133" s="220">
        <f t="shared" si="25"/>
        <v>62.29866490897156</v>
      </c>
      <c r="W133" s="220">
        <f t="shared" si="25"/>
        <v>47.55626820263673</v>
      </c>
      <c r="X133" s="220">
        <f t="shared" si="25"/>
        <v>39.599759227811816</v>
      </c>
      <c r="Y133" s="220">
        <f t="shared" si="25"/>
        <v>34.212680723383045</v>
      </c>
      <c r="Z133" s="220">
        <f t="shared" si="25"/>
        <v>30.172916728010264</v>
      </c>
      <c r="AA133" s="220">
        <f t="shared" si="25"/>
        <v>26.9581837107947</v>
      </c>
      <c r="AB133" s="220">
        <f t="shared" si="25"/>
        <v>24.298353024367756</v>
      </c>
      <c r="AC133" s="220">
        <f t="shared" si="25"/>
        <v>22.036120337778868</v>
      </c>
      <c r="AD133" s="220">
        <f t="shared" si="25"/>
        <v>20.072094178261011</v>
      </c>
      <c r="AE133" s="220">
        <f t="shared" si="25"/>
        <v>18.339602715582707</v>
      </c>
    </row>
    <row r="134" spans="5:31" x14ac:dyDescent="0.25">
      <c r="E134" s="225">
        <v>1.29E-2</v>
      </c>
      <c r="F134" s="222">
        <f t="shared" ref="F134:F197" si="26">E134*1000</f>
        <v>12.9</v>
      </c>
      <c r="G134" s="23">
        <f t="shared" si="23"/>
        <v>-52.256450000000001</v>
      </c>
      <c r="H134" s="23">
        <f t="shared" si="22"/>
        <v>-42.256450000000001</v>
      </c>
      <c r="I134" s="23">
        <f t="shared" si="22"/>
        <v>-32.256450000000001</v>
      </c>
      <c r="J134" s="23">
        <f t="shared" si="22"/>
        <v>-22.256450000000001</v>
      </c>
      <c r="K134" s="23">
        <f t="shared" si="22"/>
        <v>-12.256450000000001</v>
      </c>
      <c r="L134" s="23">
        <f t="shared" si="22"/>
        <v>-2.256450000000001</v>
      </c>
      <c r="M134" s="23">
        <f t="shared" si="22"/>
        <v>7.743549999999999</v>
      </c>
      <c r="N134" s="23">
        <f t="shared" si="22"/>
        <v>17.743549999999999</v>
      </c>
      <c r="O134" s="23">
        <f t="shared" si="22"/>
        <v>27.743549999999999</v>
      </c>
      <c r="P134" s="23">
        <f t="shared" si="22"/>
        <v>37.743549999999999</v>
      </c>
      <c r="Q134" s="23">
        <f t="shared" si="22"/>
        <v>47.743549999999999</v>
      </c>
      <c r="R134" s="23">
        <f t="shared" si="22"/>
        <v>57.743549999999999</v>
      </c>
      <c r="S134" s="23">
        <f t="shared" si="22"/>
        <v>67.743549999999999</v>
      </c>
      <c r="T134" s="23">
        <f t="shared" si="22"/>
        <v>77.743549999999999</v>
      </c>
      <c r="U134" s="23">
        <f t="shared" si="20"/>
        <v>87.743549999999999</v>
      </c>
      <c r="V134" s="220">
        <f t="shared" si="25"/>
        <v>62.480444443519573</v>
      </c>
      <c r="W134" s="220">
        <f t="shared" si="25"/>
        <v>47.718882097793468</v>
      </c>
      <c r="X134" s="220">
        <f t="shared" si="25"/>
        <v>39.75263712473722</v>
      </c>
      <c r="Y134" s="220">
        <f t="shared" si="25"/>
        <v>34.359096793512094</v>
      </c>
      <c r="Z134" s="220">
        <f t="shared" si="25"/>
        <v>30.314555994783788</v>
      </c>
      <c r="AA134" s="220">
        <f t="shared" si="25"/>
        <v>27.096063929854481</v>
      </c>
      <c r="AB134" s="220">
        <f t="shared" si="25"/>
        <v>24.433151327728673</v>
      </c>
      <c r="AC134" s="220">
        <f t="shared" si="25"/>
        <v>22.168317566126753</v>
      </c>
      <c r="AD134" s="220">
        <f t="shared" si="25"/>
        <v>20.202048223610497</v>
      </c>
      <c r="AE134" s="220">
        <f t="shared" si="25"/>
        <v>18.467589609841582</v>
      </c>
    </row>
    <row r="135" spans="5:31" x14ac:dyDescent="0.25">
      <c r="E135" s="225">
        <v>1.2999999999999999E-2</v>
      </c>
      <c r="F135" s="222">
        <f t="shared" si="26"/>
        <v>13</v>
      </c>
      <c r="G135" s="23">
        <f t="shared" si="23"/>
        <v>-52.506499999999996</v>
      </c>
      <c r="H135" s="23">
        <f t="shared" si="22"/>
        <v>-42.506499999999996</v>
      </c>
      <c r="I135" s="23">
        <f t="shared" si="22"/>
        <v>-32.506499999999996</v>
      </c>
      <c r="J135" s="23">
        <f t="shared" si="22"/>
        <v>-22.506499999999996</v>
      </c>
      <c r="K135" s="23">
        <f t="shared" ref="H135:T154" si="27">K$4-$E135*R0()</f>
        <v>-12.506499999999996</v>
      </c>
      <c r="L135" s="23">
        <f t="shared" si="27"/>
        <v>-2.5064999999999955</v>
      </c>
      <c r="M135" s="23">
        <f t="shared" si="27"/>
        <v>7.4935000000000045</v>
      </c>
      <c r="N135" s="23">
        <f t="shared" si="27"/>
        <v>17.493500000000004</v>
      </c>
      <c r="O135" s="23">
        <f t="shared" si="27"/>
        <v>27.493500000000004</v>
      </c>
      <c r="P135" s="23">
        <f t="shared" si="27"/>
        <v>37.493500000000004</v>
      </c>
      <c r="Q135" s="23">
        <f t="shared" si="27"/>
        <v>47.493500000000004</v>
      </c>
      <c r="R135" s="23">
        <f t="shared" si="27"/>
        <v>57.493500000000004</v>
      </c>
      <c r="S135" s="23">
        <f t="shared" si="27"/>
        <v>67.493500000000012</v>
      </c>
      <c r="T135" s="23">
        <f t="shared" si="27"/>
        <v>77.493500000000012</v>
      </c>
      <c r="U135" s="23">
        <f t="shared" si="20"/>
        <v>87.493500000000012</v>
      </c>
      <c r="V135" s="220">
        <f t="shared" si="25"/>
        <v>62.661135679107339</v>
      </c>
      <c r="W135" s="220">
        <f t="shared" si="25"/>
        <v>47.88049992508892</v>
      </c>
      <c r="X135" s="220">
        <f t="shared" si="25"/>
        <v>39.90456840085033</v>
      </c>
      <c r="Y135" s="220">
        <f t="shared" si="25"/>
        <v>34.504599141601453</v>
      </c>
      <c r="Z135" s="220">
        <f t="shared" si="25"/>
        <v>30.455305898649854</v>
      </c>
      <c r="AA135" s="220">
        <f t="shared" si="25"/>
        <v>27.233073977593889</v>
      </c>
      <c r="AB135" s="220">
        <f t="shared" si="25"/>
        <v>24.567095208514772</v>
      </c>
      <c r="AC135" s="220">
        <f t="shared" si="25"/>
        <v>22.299673673160072</v>
      </c>
      <c r="AD135" s="220">
        <f t="shared" si="25"/>
        <v>20.331172625601134</v>
      </c>
      <c r="AE135" s="220">
        <f t="shared" si="25"/>
        <v>18.594756931379585</v>
      </c>
    </row>
    <row r="136" spans="5:31" x14ac:dyDescent="0.25">
      <c r="E136" s="225">
        <v>1.3100000000000001E-2</v>
      </c>
      <c r="F136" s="222">
        <f t="shared" si="26"/>
        <v>13.100000000000001</v>
      </c>
      <c r="G136" s="23">
        <f t="shared" si="23"/>
        <v>-52.756550000000004</v>
      </c>
      <c r="H136" s="23">
        <f t="shared" si="27"/>
        <v>-42.756550000000004</v>
      </c>
      <c r="I136" s="23">
        <f t="shared" si="27"/>
        <v>-32.756550000000004</v>
      </c>
      <c r="J136" s="23">
        <f t="shared" si="27"/>
        <v>-22.756550000000004</v>
      </c>
      <c r="K136" s="23">
        <f t="shared" si="27"/>
        <v>-12.756550000000004</v>
      </c>
      <c r="L136" s="23">
        <f t="shared" si="27"/>
        <v>-2.7565500000000043</v>
      </c>
      <c r="M136" s="23">
        <f t="shared" si="27"/>
        <v>7.2434499999999957</v>
      </c>
      <c r="N136" s="23">
        <f t="shared" si="27"/>
        <v>17.243449999999996</v>
      </c>
      <c r="O136" s="23">
        <f t="shared" si="27"/>
        <v>27.243449999999996</v>
      </c>
      <c r="P136" s="23">
        <f t="shared" si="27"/>
        <v>37.243449999999996</v>
      </c>
      <c r="Q136" s="23">
        <f t="shared" si="27"/>
        <v>47.243449999999996</v>
      </c>
      <c r="R136" s="23">
        <f t="shared" si="27"/>
        <v>57.243449999999996</v>
      </c>
      <c r="S136" s="23">
        <f t="shared" si="27"/>
        <v>67.243449999999996</v>
      </c>
      <c r="T136" s="23">
        <f t="shared" si="27"/>
        <v>77.243449999999996</v>
      </c>
      <c r="U136" s="23">
        <f t="shared" si="20"/>
        <v>87.243449999999996</v>
      </c>
      <c r="V136" s="220">
        <f t="shared" ref="V136:AE145" si="28">Enthalpie_p_phi_x(hx_druck,V$4,$E136)-$E136*R0()</f>
        <v>62.840754384700745</v>
      </c>
      <c r="W136" s="220">
        <f t="shared" si="28"/>
        <v>48.041136193626656</v>
      </c>
      <c r="X136" s="220">
        <f t="shared" si="28"/>
        <v>40.055566866813422</v>
      </c>
      <c r="Y136" s="220">
        <f t="shared" si="28"/>
        <v>34.649201112687564</v>
      </c>
      <c r="Z136" s="220">
        <f t="shared" si="28"/>
        <v>30.595179439393775</v>
      </c>
      <c r="AA136" s="220">
        <f t="shared" si="28"/>
        <v>27.369226581490523</v>
      </c>
      <c r="AB136" s="220">
        <f t="shared" si="28"/>
        <v>24.700197170547327</v>
      </c>
      <c r="AC136" s="220">
        <f t="shared" si="28"/>
        <v>22.430200973660689</v>
      </c>
      <c r="AD136" s="220">
        <f t="shared" si="28"/>
        <v>20.459479535783636</v>
      </c>
      <c r="AE136" s="220">
        <f t="shared" si="28"/>
        <v>18.721116688449243</v>
      </c>
    </row>
    <row r="137" spans="5:31" x14ac:dyDescent="0.25">
      <c r="E137" s="225">
        <v>1.32E-2</v>
      </c>
      <c r="F137" s="222">
        <f t="shared" si="26"/>
        <v>13.2</v>
      </c>
      <c r="G137" s="23">
        <f t="shared" si="23"/>
        <v>-53.006599999999999</v>
      </c>
      <c r="H137" s="23">
        <f t="shared" si="27"/>
        <v>-43.006599999999999</v>
      </c>
      <c r="I137" s="23">
        <f t="shared" si="27"/>
        <v>-33.006599999999999</v>
      </c>
      <c r="J137" s="23">
        <f t="shared" si="27"/>
        <v>-23.006599999999999</v>
      </c>
      <c r="K137" s="23">
        <f t="shared" si="27"/>
        <v>-13.006599999999999</v>
      </c>
      <c r="L137" s="23">
        <f t="shared" si="27"/>
        <v>-3.0065999999999988</v>
      </c>
      <c r="M137" s="23">
        <f t="shared" si="27"/>
        <v>6.9934000000000012</v>
      </c>
      <c r="N137" s="23">
        <f t="shared" si="27"/>
        <v>16.993400000000001</v>
      </c>
      <c r="O137" s="23">
        <f t="shared" si="27"/>
        <v>26.993400000000001</v>
      </c>
      <c r="P137" s="23">
        <f t="shared" si="27"/>
        <v>36.993400000000001</v>
      </c>
      <c r="Q137" s="23">
        <f t="shared" si="27"/>
        <v>46.993400000000001</v>
      </c>
      <c r="R137" s="23">
        <f t="shared" si="27"/>
        <v>56.993400000000001</v>
      </c>
      <c r="S137" s="23">
        <f t="shared" si="27"/>
        <v>66.993400000000008</v>
      </c>
      <c r="T137" s="23">
        <f t="shared" si="27"/>
        <v>76.993400000000008</v>
      </c>
      <c r="U137" s="23">
        <f t="shared" si="20"/>
        <v>86.993400000000008</v>
      </c>
      <c r="V137" s="220">
        <f t="shared" si="28"/>
        <v>63.019315983474137</v>
      </c>
      <c r="W137" s="220">
        <f t="shared" si="28"/>
        <v>48.200805093498182</v>
      </c>
      <c r="X137" s="220">
        <f t="shared" si="28"/>
        <v>40.205646029330545</v>
      </c>
      <c r="Y137" s="220">
        <f t="shared" si="28"/>
        <v>34.792915757897042</v>
      </c>
      <c r="Z137" s="220">
        <f t="shared" si="28"/>
        <v>30.734189330348258</v>
      </c>
      <c r="AA137" s="220">
        <f t="shared" si="28"/>
        <v>27.504534188455189</v>
      </c>
      <c r="AB137" s="220">
        <f t="shared" si="28"/>
        <v>24.832469441917667</v>
      </c>
      <c r="AC137" s="220">
        <f t="shared" si="28"/>
        <v>22.559911510770682</v>
      </c>
      <c r="AD137" s="220">
        <f t="shared" si="28"/>
        <v>20.586980837602091</v>
      </c>
      <c r="AE137" s="220">
        <f t="shared" si="28"/>
        <v>18.846680624299715</v>
      </c>
    </row>
    <row r="138" spans="5:31" x14ac:dyDescent="0.25">
      <c r="E138" s="225">
        <v>1.3299999999999999E-2</v>
      </c>
      <c r="F138" s="222">
        <f t="shared" si="26"/>
        <v>13.299999999999999</v>
      </c>
      <c r="G138" s="23">
        <f t="shared" si="23"/>
        <v>-53.25665</v>
      </c>
      <c r="H138" s="23">
        <f t="shared" si="27"/>
        <v>-43.25665</v>
      </c>
      <c r="I138" s="23">
        <f t="shared" si="27"/>
        <v>-33.25665</v>
      </c>
      <c r="J138" s="23">
        <f t="shared" si="27"/>
        <v>-23.25665</v>
      </c>
      <c r="K138" s="23">
        <f t="shared" si="27"/>
        <v>-13.25665</v>
      </c>
      <c r="L138" s="23">
        <f t="shared" si="27"/>
        <v>-3.2566500000000005</v>
      </c>
      <c r="M138" s="23">
        <f t="shared" si="27"/>
        <v>6.7433499999999995</v>
      </c>
      <c r="N138" s="23">
        <f t="shared" si="27"/>
        <v>16.74335</v>
      </c>
      <c r="O138" s="23">
        <f t="shared" si="27"/>
        <v>26.74335</v>
      </c>
      <c r="P138" s="23">
        <f t="shared" si="27"/>
        <v>36.74335</v>
      </c>
      <c r="Q138" s="23">
        <f t="shared" si="27"/>
        <v>46.74335</v>
      </c>
      <c r="R138" s="23">
        <f t="shared" si="27"/>
        <v>56.74335</v>
      </c>
      <c r="S138" s="23">
        <f t="shared" si="27"/>
        <v>66.743349999999992</v>
      </c>
      <c r="T138" s="23">
        <f t="shared" si="27"/>
        <v>76.743349999999992</v>
      </c>
      <c r="U138" s="23">
        <f t="shared" si="20"/>
        <v>86.743349999999992</v>
      </c>
      <c r="V138" s="220">
        <f t="shared" si="28"/>
        <v>63.196835562946852</v>
      </c>
      <c r="W138" s="220">
        <f t="shared" si="28"/>
        <v>48.359520505147835</v>
      </c>
      <c r="X138" s="220">
        <f t="shared" si="28"/>
        <v>40.354819100076746</v>
      </c>
      <c r="Y138" s="220">
        <f t="shared" si="28"/>
        <v>34.935755843084884</v>
      </c>
      <c r="Z138" s="220">
        <f t="shared" si="28"/>
        <v>30.872348006815578</v>
      </c>
      <c r="AA138" s="220">
        <f t="shared" si="28"/>
        <v>27.639008973083342</v>
      </c>
      <c r="AB138" s="220">
        <f t="shared" si="28"/>
        <v>24.963923983098461</v>
      </c>
      <c r="AC138" s="220">
        <f t="shared" si="28"/>
        <v>22.688817063985013</v>
      </c>
      <c r="AD138" s="220">
        <f t="shared" si="28"/>
        <v>20.713688154284142</v>
      </c>
      <c r="AE138" s="220">
        <f t="shared" si="28"/>
        <v>18.971460224976205</v>
      </c>
    </row>
    <row r="139" spans="5:31" x14ac:dyDescent="0.25">
      <c r="E139" s="225">
        <v>1.34E-2</v>
      </c>
      <c r="F139" s="222">
        <f t="shared" si="26"/>
        <v>13.4</v>
      </c>
      <c r="G139" s="23">
        <f t="shared" si="23"/>
        <v>-53.506700000000002</v>
      </c>
      <c r="H139" s="23">
        <f t="shared" si="27"/>
        <v>-43.506700000000002</v>
      </c>
      <c r="I139" s="23">
        <f t="shared" si="27"/>
        <v>-33.506700000000002</v>
      </c>
      <c r="J139" s="23">
        <f t="shared" si="27"/>
        <v>-23.506700000000002</v>
      </c>
      <c r="K139" s="23">
        <f t="shared" si="27"/>
        <v>-13.506700000000002</v>
      </c>
      <c r="L139" s="23">
        <f t="shared" si="27"/>
        <v>-3.5067000000000021</v>
      </c>
      <c r="M139" s="23">
        <f t="shared" si="27"/>
        <v>6.4932999999999979</v>
      </c>
      <c r="N139" s="23">
        <f t="shared" si="27"/>
        <v>16.493299999999998</v>
      </c>
      <c r="O139" s="23">
        <f t="shared" si="27"/>
        <v>26.493299999999998</v>
      </c>
      <c r="P139" s="23">
        <f t="shared" si="27"/>
        <v>36.493299999999998</v>
      </c>
      <c r="Q139" s="23">
        <f t="shared" si="27"/>
        <v>46.493299999999998</v>
      </c>
      <c r="R139" s="23">
        <f t="shared" si="27"/>
        <v>56.493299999999998</v>
      </c>
      <c r="S139" s="23">
        <f t="shared" si="27"/>
        <v>66.493300000000005</v>
      </c>
      <c r="T139" s="23">
        <f t="shared" si="27"/>
        <v>76.493300000000005</v>
      </c>
      <c r="U139" s="23">
        <f t="shared" si="20"/>
        <v>86.493300000000005</v>
      </c>
      <c r="V139" s="220">
        <f t="shared" si="28"/>
        <v>63.373327884748811</v>
      </c>
      <c r="W139" s="220">
        <f t="shared" si="28"/>
        <v>48.517296008394702</v>
      </c>
      <c r="X139" s="220">
        <f t="shared" si="28"/>
        <v>40.503099004300275</v>
      </c>
      <c r="Y139" s="220">
        <f t="shared" si="28"/>
        <v>35.077733857156197</v>
      </c>
      <c r="Z139" s="220">
        <f t="shared" si="28"/>
        <v>31.009667634181049</v>
      </c>
      <c r="AA139" s="220">
        <f t="shared" si="28"/>
        <v>27.772662845604195</v>
      </c>
      <c r="AB139" s="220">
        <f t="shared" si="28"/>
        <v>25.094572494757479</v>
      </c>
      <c r="AC139" s="220">
        <f t="shared" si="28"/>
        <v>22.816929156850819</v>
      </c>
      <c r="AD139" s="220">
        <f t="shared" si="28"/>
        <v>20.83961285644147</v>
      </c>
      <c r="AE139" s="220">
        <f t="shared" si="28"/>
        <v>19.095466726834069</v>
      </c>
    </row>
    <row r="140" spans="5:31" x14ac:dyDescent="0.25">
      <c r="E140" s="225">
        <v>1.35E-2</v>
      </c>
      <c r="F140" s="222">
        <f t="shared" si="26"/>
        <v>13.5</v>
      </c>
      <c r="G140" s="23">
        <f t="shared" si="23"/>
        <v>-53.756749999999997</v>
      </c>
      <c r="H140" s="23">
        <f t="shared" si="27"/>
        <v>-43.756749999999997</v>
      </c>
      <c r="I140" s="23">
        <f t="shared" si="27"/>
        <v>-33.756749999999997</v>
      </c>
      <c r="J140" s="23">
        <f t="shared" si="27"/>
        <v>-23.756749999999997</v>
      </c>
      <c r="K140" s="23">
        <f t="shared" si="27"/>
        <v>-13.756749999999997</v>
      </c>
      <c r="L140" s="23">
        <f t="shared" si="27"/>
        <v>-3.7567499999999967</v>
      </c>
      <c r="M140" s="23">
        <f t="shared" si="27"/>
        <v>6.2432500000000033</v>
      </c>
      <c r="N140" s="23">
        <f t="shared" si="27"/>
        <v>16.243250000000003</v>
      </c>
      <c r="O140" s="23">
        <f t="shared" si="27"/>
        <v>26.243250000000003</v>
      </c>
      <c r="P140" s="23">
        <f t="shared" si="27"/>
        <v>36.243250000000003</v>
      </c>
      <c r="Q140" s="23">
        <f t="shared" si="27"/>
        <v>46.243250000000003</v>
      </c>
      <c r="R140" s="23">
        <f t="shared" si="27"/>
        <v>56.243250000000003</v>
      </c>
      <c r="S140" s="23">
        <f t="shared" si="27"/>
        <v>66.243250000000003</v>
      </c>
      <c r="T140" s="23">
        <f t="shared" si="27"/>
        <v>76.243250000000003</v>
      </c>
      <c r="U140" s="23">
        <f t="shared" si="20"/>
        <v>86.243250000000003</v>
      </c>
      <c r="V140" s="220">
        <f t="shared" si="28"/>
        <v>63.548807394031328</v>
      </c>
      <c r="W140" s="220">
        <f t="shared" si="28"/>
        <v>48.674144891126559</v>
      </c>
      <c r="X140" s="220">
        <f t="shared" si="28"/>
        <v>40.650498389111718</v>
      </c>
      <c r="Y140" s="220">
        <f t="shared" si="28"/>
        <v>35.218862020085012</v>
      </c>
      <c r="Z140" s="220">
        <f t="shared" si="28"/>
        <v>31.146160115731035</v>
      </c>
      <c r="AA140" s="220">
        <f t="shared" si="28"/>
        <v>27.905507459540139</v>
      </c>
      <c r="AB140" s="220">
        <f t="shared" si="28"/>
        <v>25.224426425286772</v>
      </c>
      <c r="AC140" s="220">
        <f t="shared" si="28"/>
        <v>22.9442590643865</v>
      </c>
      <c r="AD140" s="220">
        <f t="shared" si="28"/>
        <v>20.964766069393548</v>
      </c>
      <c r="AE140" s="220">
        <f t="shared" si="28"/>
        <v>19.218711123778675</v>
      </c>
    </row>
    <row r="141" spans="5:31" x14ac:dyDescent="0.25">
      <c r="E141" s="225">
        <v>1.3599999999999999E-2</v>
      </c>
      <c r="F141" s="222">
        <f t="shared" si="26"/>
        <v>13.6</v>
      </c>
      <c r="G141" s="23">
        <f t="shared" si="23"/>
        <v>-54.006799999999998</v>
      </c>
      <c r="H141" s="23">
        <f t="shared" si="27"/>
        <v>-44.006799999999998</v>
      </c>
      <c r="I141" s="23">
        <f t="shared" si="27"/>
        <v>-34.006799999999998</v>
      </c>
      <c r="J141" s="23">
        <f t="shared" si="27"/>
        <v>-24.006799999999998</v>
      </c>
      <c r="K141" s="23">
        <f t="shared" si="27"/>
        <v>-14.006799999999998</v>
      </c>
      <c r="L141" s="23">
        <f t="shared" si="27"/>
        <v>-4.0067999999999984</v>
      </c>
      <c r="M141" s="23">
        <f t="shared" si="27"/>
        <v>5.9932000000000016</v>
      </c>
      <c r="N141" s="23">
        <f t="shared" si="27"/>
        <v>15.993200000000002</v>
      </c>
      <c r="O141" s="23">
        <f t="shared" si="27"/>
        <v>25.993200000000002</v>
      </c>
      <c r="P141" s="23">
        <f t="shared" si="27"/>
        <v>35.993200000000002</v>
      </c>
      <c r="Q141" s="23">
        <f t="shared" si="27"/>
        <v>45.993200000000002</v>
      </c>
      <c r="R141" s="23">
        <f t="shared" si="27"/>
        <v>55.993200000000002</v>
      </c>
      <c r="S141" s="23">
        <f t="shared" si="27"/>
        <v>65.993200000000002</v>
      </c>
      <c r="T141" s="23">
        <f t="shared" si="27"/>
        <v>75.993200000000002</v>
      </c>
      <c r="U141" s="23">
        <f t="shared" si="20"/>
        <v>85.993200000000002</v>
      </c>
      <c r="V141" s="220">
        <f t="shared" si="28"/>
        <v>63.723288228538649</v>
      </c>
      <c r="W141" s="220">
        <f t="shared" si="28"/>
        <v>48.830080157679902</v>
      </c>
      <c r="X141" s="220">
        <f t="shared" si="28"/>
        <v>40.797029631473947</v>
      </c>
      <c r="Y141" s="220">
        <f t="shared" si="28"/>
        <v>35.359152290643479</v>
      </c>
      <c r="Z141" s="220">
        <f t="shared" si="28"/>
        <v>31.281837100188568</v>
      </c>
      <c r="AA141" s="220">
        <f t="shared" si="28"/>
        <v>28.037554219089493</v>
      </c>
      <c r="AB141" s="220">
        <f t="shared" si="28"/>
        <v>25.353496978059752</v>
      </c>
      <c r="AC141" s="220">
        <f t="shared" si="28"/>
        <v>23.070817820232364</v>
      </c>
      <c r="AD141" s="220">
        <f t="shared" si="28"/>
        <v>21.089158680226546</v>
      </c>
      <c r="AE141" s="220">
        <f t="shared" si="28"/>
        <v>19.341204174243728</v>
      </c>
    </row>
    <row r="142" spans="5:31" x14ac:dyDescent="0.25">
      <c r="E142" s="225">
        <v>1.37E-2</v>
      </c>
      <c r="F142" s="222">
        <f t="shared" si="26"/>
        <v>13.700000000000001</v>
      </c>
      <c r="G142" s="23">
        <f t="shared" si="23"/>
        <v>-54.25685</v>
      </c>
      <c r="H142" s="23">
        <f t="shared" si="27"/>
        <v>-44.25685</v>
      </c>
      <c r="I142" s="23">
        <f t="shared" si="27"/>
        <v>-34.25685</v>
      </c>
      <c r="J142" s="23">
        <f t="shared" si="27"/>
        <v>-24.25685</v>
      </c>
      <c r="K142" s="23">
        <f t="shared" si="27"/>
        <v>-14.25685</v>
      </c>
      <c r="L142" s="23">
        <f t="shared" si="27"/>
        <v>-4.25685</v>
      </c>
      <c r="M142" s="23">
        <f t="shared" si="27"/>
        <v>5.74315</v>
      </c>
      <c r="N142" s="23">
        <f t="shared" si="27"/>
        <v>15.74315</v>
      </c>
      <c r="O142" s="23">
        <f t="shared" si="27"/>
        <v>25.74315</v>
      </c>
      <c r="P142" s="23">
        <f t="shared" si="27"/>
        <v>35.74315</v>
      </c>
      <c r="Q142" s="23">
        <f t="shared" si="27"/>
        <v>45.74315</v>
      </c>
      <c r="R142" s="23">
        <f t="shared" si="27"/>
        <v>55.74315</v>
      </c>
      <c r="S142" s="23">
        <f t="shared" si="27"/>
        <v>65.74315</v>
      </c>
      <c r="T142" s="23">
        <f t="shared" si="27"/>
        <v>75.74315</v>
      </c>
      <c r="U142" s="23">
        <f t="shared" si="20"/>
        <v>85.74315</v>
      </c>
      <c r="V142" s="220">
        <f t="shared" si="28"/>
        <v>63.896784227354672</v>
      </c>
      <c r="W142" s="220">
        <f t="shared" si="28"/>
        <v>48.985114536920051</v>
      </c>
      <c r="X142" s="220">
        <f t="shared" si="28"/>
        <v>40.942704845905624</v>
      </c>
      <c r="Y142" s="220">
        <f t="shared" si="28"/>
        <v>35.498616373853906</v>
      </c>
      <c r="Z142" s="220">
        <f t="shared" si="28"/>
        <v>31.41670998897871</v>
      </c>
      <c r="AA142" s="220">
        <f t="shared" si="28"/>
        <v>28.168814286244469</v>
      </c>
      <c r="AB142" s="220">
        <f t="shared" si="28"/>
        <v>25.481795118427911</v>
      </c>
      <c r="AC142" s="220">
        <f t="shared" si="28"/>
        <v>23.196616223544858</v>
      </c>
      <c r="AD142" s="220">
        <f t="shared" si="28"/>
        <v>21.21280134459893</v>
      </c>
      <c r="AE142" s="220">
        <f t="shared" si="28"/>
        <v>19.462956407918909</v>
      </c>
    </row>
    <row r="143" spans="5:31" x14ac:dyDescent="0.25">
      <c r="E143" s="225">
        <v>1.38E-2</v>
      </c>
      <c r="F143" s="222">
        <f t="shared" si="26"/>
        <v>13.799999999999999</v>
      </c>
      <c r="G143" s="23">
        <f t="shared" si="23"/>
        <v>-54.506900000000002</v>
      </c>
      <c r="H143" s="23">
        <f t="shared" si="27"/>
        <v>-44.506900000000002</v>
      </c>
      <c r="I143" s="23">
        <f t="shared" si="27"/>
        <v>-34.506900000000002</v>
      </c>
      <c r="J143" s="23">
        <f t="shared" si="27"/>
        <v>-24.506900000000002</v>
      </c>
      <c r="K143" s="23">
        <f t="shared" si="27"/>
        <v>-14.506900000000002</v>
      </c>
      <c r="L143" s="23">
        <f t="shared" si="27"/>
        <v>-4.5069000000000017</v>
      </c>
      <c r="M143" s="23">
        <f t="shared" si="27"/>
        <v>5.4930999999999983</v>
      </c>
      <c r="N143" s="23">
        <f t="shared" si="27"/>
        <v>15.493099999999998</v>
      </c>
      <c r="O143" s="23">
        <f t="shared" si="27"/>
        <v>25.493099999999998</v>
      </c>
      <c r="P143" s="23">
        <f t="shared" si="27"/>
        <v>35.493099999999998</v>
      </c>
      <c r="Q143" s="23">
        <f t="shared" si="27"/>
        <v>45.493099999999998</v>
      </c>
      <c r="R143" s="23">
        <f t="shared" si="27"/>
        <v>55.493099999999998</v>
      </c>
      <c r="S143" s="23">
        <f t="shared" si="27"/>
        <v>65.493099999999998</v>
      </c>
      <c r="T143" s="23">
        <f t="shared" si="27"/>
        <v>75.493099999999998</v>
      </c>
      <c r="U143" s="23">
        <f t="shared" si="20"/>
        <v>85.493099999999998</v>
      </c>
      <c r="V143" s="220">
        <f t="shared" si="28"/>
        <v>64.069308939339038</v>
      </c>
      <c r="W143" s="220">
        <f t="shared" si="28"/>
        <v>49.13926049003382</v>
      </c>
      <c r="X143" s="220">
        <f t="shared" si="28"/>
        <v>41.087535891910704</v>
      </c>
      <c r="Y143" s="220">
        <f t="shared" si="28"/>
        <v>35.637265728175663</v>
      </c>
      <c r="Z143" s="220">
        <f t="shared" si="28"/>
        <v>31.550789943235188</v>
      </c>
      <c r="AA143" s="220">
        <f t="shared" si="28"/>
        <v>28.299298587655521</v>
      </c>
      <c r="AB143" s="220">
        <f t="shared" si="28"/>
        <v>25.609331580468258</v>
      </c>
      <c r="AC143" s="220">
        <f t="shared" si="28"/>
        <v>23.321664845645131</v>
      </c>
      <c r="AD143" s="220">
        <f t="shared" si="28"/>
        <v>21.33570449330449</v>
      </c>
      <c r="AE143" s="220">
        <f t="shared" si="28"/>
        <v>19.583978132238116</v>
      </c>
    </row>
    <row r="144" spans="5:31" x14ac:dyDescent="0.25">
      <c r="E144" s="225">
        <v>1.3899999999999999E-2</v>
      </c>
      <c r="F144" s="222">
        <f t="shared" si="26"/>
        <v>13.899999999999999</v>
      </c>
      <c r="G144" s="23">
        <f t="shared" si="23"/>
        <v>-54.756949999999996</v>
      </c>
      <c r="H144" s="23">
        <f t="shared" si="27"/>
        <v>-44.756949999999996</v>
      </c>
      <c r="I144" s="23">
        <f t="shared" si="27"/>
        <v>-34.756949999999996</v>
      </c>
      <c r="J144" s="23">
        <f t="shared" si="27"/>
        <v>-24.756949999999996</v>
      </c>
      <c r="K144" s="23">
        <f t="shared" si="27"/>
        <v>-14.756949999999996</v>
      </c>
      <c r="L144" s="23">
        <f t="shared" si="27"/>
        <v>-4.7569499999999962</v>
      </c>
      <c r="M144" s="23">
        <f t="shared" si="27"/>
        <v>5.2430500000000038</v>
      </c>
      <c r="N144" s="23">
        <f t="shared" si="27"/>
        <v>15.243050000000004</v>
      </c>
      <c r="O144" s="23">
        <f t="shared" si="27"/>
        <v>25.243050000000004</v>
      </c>
      <c r="P144" s="23">
        <f t="shared" si="27"/>
        <v>35.243050000000004</v>
      </c>
      <c r="Q144" s="23">
        <f t="shared" si="27"/>
        <v>45.243050000000004</v>
      </c>
      <c r="R144" s="23">
        <f t="shared" si="27"/>
        <v>55.243050000000004</v>
      </c>
      <c r="S144" s="23">
        <f t="shared" si="27"/>
        <v>65.243050000000011</v>
      </c>
      <c r="T144" s="23">
        <f t="shared" si="27"/>
        <v>75.243050000000011</v>
      </c>
      <c r="U144" s="23">
        <f t="shared" si="20"/>
        <v>85.243050000000011</v>
      </c>
      <c r="V144" s="220">
        <f t="shared" si="28"/>
        <v>64.240875631265567</v>
      </c>
      <c r="W144" s="220">
        <f t="shared" si="28"/>
        <v>49.292530218046913</v>
      </c>
      <c r="X144" s="220">
        <f t="shared" si="28"/>
        <v>41.231534381145316</v>
      </c>
      <c r="Y144" s="220">
        <f t="shared" si="28"/>
        <v>35.775111572437986</v>
      </c>
      <c r="Z144" s="220">
        <f t="shared" si="28"/>
        <v>31.684087890559432</v>
      </c>
      <c r="AA144" s="220">
        <f t="shared" si="28"/>
        <v>28.429017821253119</v>
      </c>
      <c r="AB144" s="220">
        <f t="shared" si="28"/>
        <v>25.736116873492186</v>
      </c>
      <c r="AC144" s="220">
        <f t="shared" si="28"/>
        <v>23.445974036432418</v>
      </c>
      <c r="AD144" s="220">
        <f t="shared" si="28"/>
        <v>21.457878338603336</v>
      </c>
      <c r="AE144" s="220">
        <f t="shared" si="28"/>
        <v>19.704279438637691</v>
      </c>
    </row>
    <row r="145" spans="5:31" x14ac:dyDescent="0.25">
      <c r="E145" s="225">
        <v>1.4E-2</v>
      </c>
      <c r="F145" s="222">
        <f t="shared" si="26"/>
        <v>14</v>
      </c>
      <c r="G145" s="23">
        <f t="shared" si="23"/>
        <v>-55.006999999999998</v>
      </c>
      <c r="H145" s="23">
        <f t="shared" si="27"/>
        <v>-45.006999999999998</v>
      </c>
      <c r="I145" s="23">
        <f t="shared" si="27"/>
        <v>-35.006999999999998</v>
      </c>
      <c r="J145" s="23">
        <f t="shared" si="27"/>
        <v>-25.006999999999998</v>
      </c>
      <c r="K145" s="23">
        <f t="shared" si="27"/>
        <v>-15.006999999999998</v>
      </c>
      <c r="L145" s="23">
        <f t="shared" si="27"/>
        <v>-5.0069999999999979</v>
      </c>
      <c r="M145" s="23">
        <f t="shared" si="27"/>
        <v>4.9930000000000021</v>
      </c>
      <c r="N145" s="23">
        <f t="shared" si="27"/>
        <v>14.993000000000002</v>
      </c>
      <c r="O145" s="23">
        <f t="shared" si="27"/>
        <v>24.993000000000002</v>
      </c>
      <c r="P145" s="23">
        <f t="shared" si="27"/>
        <v>34.993000000000002</v>
      </c>
      <c r="Q145" s="23">
        <f t="shared" si="27"/>
        <v>44.993000000000002</v>
      </c>
      <c r="R145" s="23">
        <f t="shared" si="27"/>
        <v>54.993000000000002</v>
      </c>
      <c r="S145" s="23">
        <f t="shared" si="27"/>
        <v>64.992999999999995</v>
      </c>
      <c r="T145" s="23">
        <f t="shared" si="27"/>
        <v>74.992999999999995</v>
      </c>
      <c r="U145" s="23">
        <f t="shared" si="20"/>
        <v>84.992999999999995</v>
      </c>
      <c r="V145" s="220">
        <f t="shared" si="28"/>
        <v>64.411497295675616</v>
      </c>
      <c r="W145" s="220">
        <f t="shared" si="28"/>
        <v>49.44493566907807</v>
      </c>
      <c r="X145" s="220">
        <f t="shared" si="28"/>
        <v>41.374711684333626</v>
      </c>
      <c r="Y145" s="220">
        <f t="shared" si="28"/>
        <v>35.912164892529553</v>
      </c>
      <c r="Z145" s="220">
        <f t="shared" si="28"/>
        <v>31.816614531542349</v>
      </c>
      <c r="AA145" s="220">
        <f t="shared" si="28"/>
        <v>28.557982462636978</v>
      </c>
      <c r="AB145" s="220">
        <f t="shared" si="28"/>
        <v>25.862161288325886</v>
      </c>
      <c r="AC145" s="220">
        <f t="shared" si="28"/>
        <v>23.569553930572276</v>
      </c>
      <c r="AD145" s="220">
        <f t="shared" si="28"/>
        <v>21.57933288033049</v>
      </c>
      <c r="AE145" s="220">
        <f t="shared" si="28"/>
        <v>19.823870208595274</v>
      </c>
    </row>
    <row r="146" spans="5:31" x14ac:dyDescent="0.25">
      <c r="E146" s="225">
        <v>1.41E-2</v>
      </c>
      <c r="F146" s="222">
        <f t="shared" si="26"/>
        <v>14.1</v>
      </c>
      <c r="G146" s="23">
        <f t="shared" si="23"/>
        <v>-55.25705</v>
      </c>
      <c r="H146" s="23">
        <f t="shared" si="27"/>
        <v>-45.25705</v>
      </c>
      <c r="I146" s="23">
        <f t="shared" si="27"/>
        <v>-35.25705</v>
      </c>
      <c r="J146" s="23">
        <f t="shared" si="27"/>
        <v>-25.25705</v>
      </c>
      <c r="K146" s="23">
        <f t="shared" si="27"/>
        <v>-15.25705</v>
      </c>
      <c r="L146" s="23">
        <f t="shared" si="27"/>
        <v>-5.2570499999999996</v>
      </c>
      <c r="M146" s="23">
        <f t="shared" si="27"/>
        <v>4.7429500000000004</v>
      </c>
      <c r="N146" s="23">
        <f t="shared" si="27"/>
        <v>14.74295</v>
      </c>
      <c r="O146" s="23">
        <f t="shared" si="27"/>
        <v>24.74295</v>
      </c>
      <c r="P146" s="23">
        <f t="shared" si="27"/>
        <v>34.74295</v>
      </c>
      <c r="Q146" s="23">
        <f t="shared" si="27"/>
        <v>44.74295</v>
      </c>
      <c r="R146" s="23">
        <f t="shared" si="27"/>
        <v>54.74295</v>
      </c>
      <c r="S146" s="23">
        <f t="shared" si="27"/>
        <v>64.742950000000008</v>
      </c>
      <c r="T146" s="23">
        <f t="shared" si="27"/>
        <v>74.742950000000008</v>
      </c>
      <c r="U146" s="23">
        <f t="shared" si="20"/>
        <v>84.742950000000008</v>
      </c>
      <c r="V146" s="220">
        <f t="shared" ref="V146:AE155" si="29">Enthalpie_p_phi_x(hx_druck,V$4,$E146)-$E146*R0()</f>
        <v>64.581186658458449</v>
      </c>
      <c r="W146" s="220">
        <f t="shared" si="29"/>
        <v>49.596488545340598</v>
      </c>
      <c r="X146" s="220">
        <f t="shared" si="29"/>
        <v>41.517078937942522</v>
      </c>
      <c r="Y146" s="220">
        <f t="shared" si="29"/>
        <v>36.048436447855273</v>
      </c>
      <c r="Z146" s="220">
        <f t="shared" si="29"/>
        <v>31.948380346058876</v>
      </c>
      <c r="AA146" s="220">
        <f t="shared" si="29"/>
        <v>28.686202771242741</v>
      </c>
      <c r="AB146" s="220">
        <f t="shared" si="29"/>
        <v>25.987474903371712</v>
      </c>
      <c r="AC146" s="220">
        <f t="shared" si="29"/>
        <v>23.692414453469048</v>
      </c>
      <c r="AD146" s="220">
        <f t="shared" si="29"/>
        <v>21.700077911791475</v>
      </c>
      <c r="AE146" s="220">
        <f t="shared" si="29"/>
        <v>19.942760119457937</v>
      </c>
    </row>
    <row r="147" spans="5:31" x14ac:dyDescent="0.25">
      <c r="E147" s="225">
        <v>1.4200000000000001E-2</v>
      </c>
      <c r="F147" s="222">
        <f t="shared" si="26"/>
        <v>14.200000000000001</v>
      </c>
      <c r="G147" s="23">
        <f t="shared" si="23"/>
        <v>-55.507100000000001</v>
      </c>
      <c r="H147" s="23">
        <f t="shared" si="27"/>
        <v>-45.507100000000001</v>
      </c>
      <c r="I147" s="23">
        <f t="shared" si="27"/>
        <v>-35.507100000000001</v>
      </c>
      <c r="J147" s="23">
        <f t="shared" si="27"/>
        <v>-25.507100000000001</v>
      </c>
      <c r="K147" s="23">
        <f t="shared" si="27"/>
        <v>-15.507100000000001</v>
      </c>
      <c r="L147" s="23">
        <f t="shared" si="27"/>
        <v>-5.5071000000000012</v>
      </c>
      <c r="M147" s="23">
        <f t="shared" si="27"/>
        <v>4.4928999999999988</v>
      </c>
      <c r="N147" s="23">
        <f t="shared" si="27"/>
        <v>14.492899999999999</v>
      </c>
      <c r="O147" s="23">
        <f t="shared" si="27"/>
        <v>24.492899999999999</v>
      </c>
      <c r="P147" s="23">
        <f t="shared" si="27"/>
        <v>34.492899999999999</v>
      </c>
      <c r="Q147" s="23">
        <f t="shared" si="27"/>
        <v>44.492899999999999</v>
      </c>
      <c r="R147" s="23">
        <f t="shared" si="27"/>
        <v>54.492899999999999</v>
      </c>
      <c r="S147" s="23">
        <f t="shared" si="27"/>
        <v>64.492899999999992</v>
      </c>
      <c r="T147" s="23">
        <f t="shared" si="27"/>
        <v>74.492899999999992</v>
      </c>
      <c r="U147" s="23">
        <f t="shared" si="20"/>
        <v>84.492899999999992</v>
      </c>
      <c r="V147" s="220">
        <f t="shared" si="29"/>
        <v>64.749956186169811</v>
      </c>
      <c r="W147" s="220">
        <f t="shared" si="29"/>
        <v>49.747200309902105</v>
      </c>
      <c r="X147" s="220">
        <f t="shared" si="29"/>
        <v>41.658647050625724</v>
      </c>
      <c r="Y147" s="220">
        <f t="shared" si="29"/>
        <v>36.183936777569393</v>
      </c>
      <c r="Z147" s="220">
        <f t="shared" si="29"/>
        <v>32.079395599344856</v>
      </c>
      <c r="AA147" s="220">
        <f t="shared" si="29"/>
        <v>28.813688796295175</v>
      </c>
      <c r="AB147" s="220">
        <f t="shared" si="29"/>
        <v>26.112067590459908</v>
      </c>
      <c r="AC147" s="220">
        <f t="shared" si="29"/>
        <v>23.814565327031609</v>
      </c>
      <c r="AD147" s="220">
        <f t="shared" si="29"/>
        <v>21.820123025453846</v>
      </c>
      <c r="AE147" s="220">
        <f t="shared" si="29"/>
        <v>20.060958650068187</v>
      </c>
    </row>
    <row r="148" spans="5:31" x14ac:dyDescent="0.25">
      <c r="E148" s="225">
        <v>1.43E-2</v>
      </c>
      <c r="F148" s="222">
        <f t="shared" si="26"/>
        <v>14.3</v>
      </c>
      <c r="G148" s="23">
        <f t="shared" si="23"/>
        <v>-55.757150000000003</v>
      </c>
      <c r="H148" s="23">
        <f t="shared" si="27"/>
        <v>-45.757150000000003</v>
      </c>
      <c r="I148" s="23">
        <f t="shared" si="27"/>
        <v>-35.757150000000003</v>
      </c>
      <c r="J148" s="23">
        <f t="shared" si="27"/>
        <v>-25.757150000000003</v>
      </c>
      <c r="K148" s="23">
        <f t="shared" si="27"/>
        <v>-15.757150000000003</v>
      </c>
      <c r="L148" s="23">
        <f t="shared" si="27"/>
        <v>-5.7571500000000029</v>
      </c>
      <c r="M148" s="23">
        <f t="shared" si="27"/>
        <v>4.2428499999999971</v>
      </c>
      <c r="N148" s="23">
        <f t="shared" si="27"/>
        <v>14.242849999999997</v>
      </c>
      <c r="O148" s="23">
        <f t="shared" si="27"/>
        <v>24.242849999999997</v>
      </c>
      <c r="P148" s="23">
        <f t="shared" si="27"/>
        <v>34.242849999999997</v>
      </c>
      <c r="Q148" s="23">
        <f t="shared" si="27"/>
        <v>44.242849999999997</v>
      </c>
      <c r="R148" s="23">
        <f t="shared" si="27"/>
        <v>54.242849999999997</v>
      </c>
      <c r="S148" s="23">
        <f t="shared" si="27"/>
        <v>64.242850000000004</v>
      </c>
      <c r="T148" s="23">
        <f t="shared" si="27"/>
        <v>74.242850000000004</v>
      </c>
      <c r="U148" s="23">
        <f t="shared" si="20"/>
        <v>84.242850000000004</v>
      </c>
      <c r="V148" s="220">
        <f t="shared" si="29"/>
        <v>64.917818093099754</v>
      </c>
      <c r="W148" s="220">
        <f t="shared" si="29"/>
        <v>49.897082193212093</v>
      </c>
      <c r="X148" s="220">
        <f t="shared" si="29"/>
        <v>41.799426709446713</v>
      </c>
      <c r="Y148" s="220">
        <f t="shared" si="29"/>
        <v>36.318676206594823</v>
      </c>
      <c r="Z148" s="220">
        <f t="shared" si="29"/>
        <v>32.20967034786495</v>
      </c>
      <c r="AA148" s="220">
        <f t="shared" si="29"/>
        <v>28.940450382556826</v>
      </c>
      <c r="AB148" s="220">
        <f t="shared" si="29"/>
        <v>26.235949020499042</v>
      </c>
      <c r="AC148" s="220">
        <f t="shared" si="29"/>
        <v>23.936016075240893</v>
      </c>
      <c r="AD148" s="220">
        <f t="shared" si="29"/>
        <v>21.939477618442979</v>
      </c>
      <c r="AE148" s="220">
        <f t="shared" si="29"/>
        <v>20.178475086197203</v>
      </c>
    </row>
    <row r="149" spans="5:31" x14ac:dyDescent="0.25">
      <c r="E149" s="225">
        <v>1.44E-2</v>
      </c>
      <c r="F149" s="222">
        <f t="shared" si="26"/>
        <v>14.4</v>
      </c>
      <c r="G149" s="23">
        <f t="shared" si="23"/>
        <v>-56.007199999999997</v>
      </c>
      <c r="H149" s="23">
        <f t="shared" si="27"/>
        <v>-46.007199999999997</v>
      </c>
      <c r="I149" s="23">
        <f t="shared" si="27"/>
        <v>-36.007199999999997</v>
      </c>
      <c r="J149" s="23">
        <f t="shared" si="27"/>
        <v>-26.007199999999997</v>
      </c>
      <c r="K149" s="23">
        <f t="shared" si="27"/>
        <v>-16.007199999999997</v>
      </c>
      <c r="L149" s="23">
        <f t="shared" si="27"/>
        <v>-6.0071999999999974</v>
      </c>
      <c r="M149" s="23">
        <f t="shared" si="27"/>
        <v>3.9928000000000026</v>
      </c>
      <c r="N149" s="23">
        <f t="shared" si="27"/>
        <v>13.992800000000003</v>
      </c>
      <c r="O149" s="23">
        <f t="shared" si="27"/>
        <v>23.992800000000003</v>
      </c>
      <c r="P149" s="23">
        <f t="shared" si="27"/>
        <v>33.992800000000003</v>
      </c>
      <c r="Q149" s="23">
        <f t="shared" si="27"/>
        <v>43.992800000000003</v>
      </c>
      <c r="R149" s="23">
        <f t="shared" si="27"/>
        <v>53.992800000000003</v>
      </c>
      <c r="S149" s="23">
        <f t="shared" si="27"/>
        <v>63.992800000000003</v>
      </c>
      <c r="T149" s="23">
        <f t="shared" si="27"/>
        <v>73.992800000000003</v>
      </c>
      <c r="U149" s="23">
        <f t="shared" si="20"/>
        <v>83.992800000000003</v>
      </c>
      <c r="V149" s="220">
        <f t="shared" si="29"/>
        <v>65.084784348099745</v>
      </c>
      <c r="W149" s="220">
        <f t="shared" si="29"/>
        <v>50.046145199407349</v>
      </c>
      <c r="X149" s="220">
        <f t="shared" si="29"/>
        <v>41.939428385889286</v>
      </c>
      <c r="Y149" s="220">
        <f t="shared" si="29"/>
        <v>36.452664851437007</v>
      </c>
      <c r="Z149" s="220">
        <f t="shared" si="29"/>
        <v>32.339214444980541</v>
      </c>
      <c r="AA149" s="220">
        <f t="shared" si="29"/>
        <v>29.066497175880528</v>
      </c>
      <c r="AB149" s="220">
        <f t="shared" si="29"/>
        <v>26.35912866893382</v>
      </c>
      <c r="AC149" s="220">
        <f t="shared" si="29"/>
        <v>24.05677602952737</v>
      </c>
      <c r="AD149" s="220">
        <f t="shared" si="29"/>
        <v>22.058150897850311</v>
      </c>
      <c r="AE149" s="220">
        <f t="shared" si="29"/>
        <v>20.295318525791856</v>
      </c>
    </row>
    <row r="150" spans="5:31" x14ac:dyDescent="0.25">
      <c r="E150" s="225">
        <v>1.4500000000000001E-2</v>
      </c>
      <c r="F150" s="222">
        <f t="shared" si="26"/>
        <v>14.5</v>
      </c>
      <c r="G150" s="23">
        <f t="shared" si="23"/>
        <v>-56.257249999999999</v>
      </c>
      <c r="H150" s="23">
        <f t="shared" si="27"/>
        <v>-46.257249999999999</v>
      </c>
      <c r="I150" s="23">
        <f t="shared" si="27"/>
        <v>-36.257249999999999</v>
      </c>
      <c r="J150" s="23">
        <f t="shared" si="27"/>
        <v>-26.257249999999999</v>
      </c>
      <c r="K150" s="23">
        <f t="shared" si="27"/>
        <v>-16.257249999999999</v>
      </c>
      <c r="L150" s="23">
        <f t="shared" si="27"/>
        <v>-6.2572499999999991</v>
      </c>
      <c r="M150" s="23">
        <f t="shared" si="27"/>
        <v>3.7427500000000009</v>
      </c>
      <c r="N150" s="23">
        <f t="shared" si="27"/>
        <v>13.742750000000001</v>
      </c>
      <c r="O150" s="23">
        <f t="shared" si="27"/>
        <v>23.742750000000001</v>
      </c>
      <c r="P150" s="23">
        <f t="shared" si="27"/>
        <v>33.742750000000001</v>
      </c>
      <c r="Q150" s="23">
        <f t="shared" si="27"/>
        <v>43.742750000000001</v>
      </c>
      <c r="R150" s="23">
        <f t="shared" si="27"/>
        <v>53.742750000000001</v>
      </c>
      <c r="S150" s="23">
        <f t="shared" si="27"/>
        <v>63.742750000000001</v>
      </c>
      <c r="T150" s="23">
        <f t="shared" si="27"/>
        <v>73.742750000000001</v>
      </c>
      <c r="U150" s="23">
        <f t="shared" si="20"/>
        <v>83.742750000000001</v>
      </c>
      <c r="V150" s="220">
        <f t="shared" si="29"/>
        <v>65.250866681178849</v>
      </c>
      <c r="W150" s="220">
        <f t="shared" si="29"/>
        <v>50.19440011240377</v>
      </c>
      <c r="X150" s="220">
        <f t="shared" si="29"/>
        <v>42.078662341664881</v>
      </c>
      <c r="Y150" s="220">
        <f t="shared" si="29"/>
        <v>36.585912625801001</v>
      </c>
      <c r="Z150" s="220">
        <f t="shared" si="29"/>
        <v>32.468037546425535</v>
      </c>
      <c r="AA150" s="220">
        <f t="shared" si="29"/>
        <v>29.191838628573691</v>
      </c>
      <c r="AB150" s="220">
        <f t="shared" si="29"/>
        <v>26.481615821017613</v>
      </c>
      <c r="AC150" s="220">
        <f t="shared" si="29"/>
        <v>24.176854333966261</v>
      </c>
      <c r="AD150" s="220">
        <f t="shared" si="29"/>
        <v>22.176151885861501</v>
      </c>
      <c r="AE150" s="220">
        <f t="shared" si="29"/>
        <v>20.411497884044238</v>
      </c>
    </row>
    <row r="151" spans="5:31" x14ac:dyDescent="0.25">
      <c r="E151" s="225">
        <v>1.46E-2</v>
      </c>
      <c r="F151" s="222">
        <f t="shared" si="26"/>
        <v>14.6</v>
      </c>
      <c r="G151" s="23">
        <f t="shared" si="23"/>
        <v>-56.507300000000001</v>
      </c>
      <c r="H151" s="23">
        <f t="shared" si="27"/>
        <v>-46.507300000000001</v>
      </c>
      <c r="I151" s="23">
        <f t="shared" si="27"/>
        <v>-36.507300000000001</v>
      </c>
      <c r="J151" s="23">
        <f t="shared" si="27"/>
        <v>-26.507300000000001</v>
      </c>
      <c r="K151" s="23">
        <f t="shared" si="27"/>
        <v>-16.507300000000001</v>
      </c>
      <c r="L151" s="23">
        <f t="shared" si="27"/>
        <v>-6.5073000000000008</v>
      </c>
      <c r="M151" s="23">
        <f t="shared" si="27"/>
        <v>3.4926999999999992</v>
      </c>
      <c r="N151" s="23">
        <f t="shared" si="27"/>
        <v>13.492699999999999</v>
      </c>
      <c r="O151" s="23">
        <f t="shared" si="27"/>
        <v>23.492699999999999</v>
      </c>
      <c r="P151" s="23">
        <f t="shared" si="27"/>
        <v>33.492699999999999</v>
      </c>
      <c r="Q151" s="23">
        <f t="shared" si="27"/>
        <v>43.492699999999999</v>
      </c>
      <c r="R151" s="23">
        <f t="shared" si="27"/>
        <v>53.492699999999999</v>
      </c>
      <c r="S151" s="23">
        <f t="shared" si="27"/>
        <v>63.492699999999999</v>
      </c>
      <c r="T151" s="23">
        <f t="shared" si="27"/>
        <v>73.492699999999999</v>
      </c>
      <c r="U151" s="23">
        <f t="shared" si="20"/>
        <v>83.492699999999999</v>
      </c>
      <c r="V151" s="220">
        <f t="shared" si="29"/>
        <v>65.416076589878728</v>
      </c>
      <c r="W151" s="220">
        <f t="shared" si="29"/>
        <v>50.341857501783636</v>
      </c>
      <c r="X151" s="220">
        <f t="shared" si="29"/>
        <v>42.217138634324428</v>
      </c>
      <c r="Y151" s="220">
        <f t="shared" si="29"/>
        <v>36.718429246019468</v>
      </c>
      <c r="Z151" s="220">
        <f t="shared" si="29"/>
        <v>32.596149115597953</v>
      </c>
      <c r="AA151" s="220">
        <f t="shared" si="29"/>
        <v>29.316484004582222</v>
      </c>
      <c r="AB151" s="220">
        <f t="shared" si="29"/>
        <v>26.603419576907854</v>
      </c>
      <c r="AC151" s="220">
        <f t="shared" si="29"/>
        <v>24.296259950297824</v>
      </c>
      <c r="AD151" s="220">
        <f t="shared" si="29"/>
        <v>22.293489424712121</v>
      </c>
      <c r="AE151" s="220">
        <f t="shared" si="29"/>
        <v>20.527021898290528</v>
      </c>
    </row>
    <row r="152" spans="5:31" x14ac:dyDescent="0.25">
      <c r="E152" s="225">
        <v>1.47E-2</v>
      </c>
      <c r="F152" s="222">
        <f t="shared" si="26"/>
        <v>14.7</v>
      </c>
      <c r="G152" s="23">
        <f t="shared" si="23"/>
        <v>-56.757349999999995</v>
      </c>
      <c r="H152" s="23">
        <f t="shared" si="27"/>
        <v>-46.757349999999995</v>
      </c>
      <c r="I152" s="23">
        <f t="shared" si="27"/>
        <v>-36.757349999999995</v>
      </c>
      <c r="J152" s="23">
        <f t="shared" si="27"/>
        <v>-26.757349999999995</v>
      </c>
      <c r="K152" s="23">
        <f t="shared" si="27"/>
        <v>-16.757349999999995</v>
      </c>
      <c r="L152" s="23">
        <f t="shared" si="27"/>
        <v>-6.7573499999999953</v>
      </c>
      <c r="M152" s="23">
        <f t="shared" si="27"/>
        <v>3.2426500000000047</v>
      </c>
      <c r="N152" s="23">
        <f t="shared" si="27"/>
        <v>13.242650000000005</v>
      </c>
      <c r="O152" s="23">
        <f t="shared" si="27"/>
        <v>23.242650000000005</v>
      </c>
      <c r="P152" s="23">
        <f t="shared" si="27"/>
        <v>33.242650000000005</v>
      </c>
      <c r="Q152" s="23">
        <f t="shared" si="27"/>
        <v>43.242650000000005</v>
      </c>
      <c r="R152" s="23">
        <f t="shared" si="27"/>
        <v>53.242650000000005</v>
      </c>
      <c r="S152" s="23">
        <f t="shared" si="27"/>
        <v>63.242650000000005</v>
      </c>
      <c r="T152" s="23">
        <f t="shared" si="27"/>
        <v>73.242649999999998</v>
      </c>
      <c r="U152" s="23">
        <f t="shared" si="20"/>
        <v>83.242649999999998</v>
      </c>
      <c r="V152" s="220">
        <f t="shared" si="29"/>
        <v>65.580425345435771</v>
      </c>
      <c r="W152" s="220">
        <f t="shared" si="29"/>
        <v>50.488527728486396</v>
      </c>
      <c r="X152" s="220">
        <f t="shared" si="29"/>
        <v>42.354867122682897</v>
      </c>
      <c r="Y152" s="220">
        <f t="shared" si="29"/>
        <v>36.850224236299489</v>
      </c>
      <c r="Z152" s="220">
        <f t="shared" si="29"/>
        <v>32.723558428674714</v>
      </c>
      <c r="AA152" s="220">
        <f t="shared" si="29"/>
        <v>29.440442384500948</v>
      </c>
      <c r="AB152" s="220">
        <f t="shared" si="29"/>
        <v>26.724548856590864</v>
      </c>
      <c r="AC152" s="220">
        <f t="shared" si="29"/>
        <v>24.415001662779822</v>
      </c>
      <c r="AD152" s="220">
        <f t="shared" si="29"/>
        <v>22.410172181477364</v>
      </c>
      <c r="AE152" s="220">
        <f t="shared" si="29"/>
        <v>20.641899132745543</v>
      </c>
    </row>
    <row r="153" spans="5:31" x14ac:dyDescent="0.25">
      <c r="E153" s="225">
        <v>1.4800000000000001E-2</v>
      </c>
      <c r="F153" s="222">
        <f t="shared" si="26"/>
        <v>14.8</v>
      </c>
      <c r="G153" s="23">
        <f t="shared" si="23"/>
        <v>-57.007400000000004</v>
      </c>
      <c r="H153" s="23">
        <f t="shared" si="27"/>
        <v>-47.007400000000004</v>
      </c>
      <c r="I153" s="23">
        <f t="shared" si="27"/>
        <v>-37.007400000000004</v>
      </c>
      <c r="J153" s="23">
        <f t="shared" si="27"/>
        <v>-27.007400000000004</v>
      </c>
      <c r="K153" s="23">
        <f t="shared" si="27"/>
        <v>-17.007400000000004</v>
      </c>
      <c r="L153" s="23">
        <f t="shared" si="27"/>
        <v>-7.0074000000000041</v>
      </c>
      <c r="M153" s="23">
        <f t="shared" si="27"/>
        <v>2.9925999999999959</v>
      </c>
      <c r="N153" s="23">
        <f t="shared" si="27"/>
        <v>12.992599999999996</v>
      </c>
      <c r="O153" s="23">
        <f t="shared" si="27"/>
        <v>22.992599999999996</v>
      </c>
      <c r="P153" s="23">
        <f t="shared" si="27"/>
        <v>32.992599999999996</v>
      </c>
      <c r="Q153" s="23">
        <f t="shared" si="27"/>
        <v>42.992599999999996</v>
      </c>
      <c r="R153" s="23">
        <f t="shared" si="27"/>
        <v>52.992599999999996</v>
      </c>
      <c r="S153" s="23">
        <f t="shared" si="27"/>
        <v>62.992599999999996</v>
      </c>
      <c r="T153" s="23">
        <f t="shared" si="27"/>
        <v>72.992599999999996</v>
      </c>
      <c r="U153" s="23">
        <f t="shared" si="20"/>
        <v>82.992599999999996</v>
      </c>
      <c r="V153" s="220">
        <f t="shared" si="29"/>
        <v>65.743923998739419</v>
      </c>
      <c r="W153" s="220">
        <f t="shared" si="29"/>
        <v>50.634420950310627</v>
      </c>
      <c r="X153" s="220">
        <f t="shared" si="29"/>
        <v>42.491857472063899</v>
      </c>
      <c r="Y153" s="220">
        <f t="shared" si="29"/>
        <v>36.98130693379521</v>
      </c>
      <c r="Z153" s="220">
        <f t="shared" si="29"/>
        <v>32.85027457955654</v>
      </c>
      <c r="AA153" s="220">
        <f t="shared" si="29"/>
        <v>29.56372267041796</v>
      </c>
      <c r="AB153" s="220">
        <f t="shared" si="29"/>
        <v>26.845012404643228</v>
      </c>
      <c r="AC153" s="220">
        <f t="shared" si="29"/>
        <v>24.53308808287882</v>
      </c>
      <c r="AD153" s="220">
        <f t="shared" si="29"/>
        <v>22.526208652702934</v>
      </c>
      <c r="AE153" s="220">
        <f t="shared" si="29"/>
        <v>20.756137983080599</v>
      </c>
    </row>
    <row r="154" spans="5:31" x14ac:dyDescent="0.25">
      <c r="E154" s="225">
        <v>1.49E-2</v>
      </c>
      <c r="F154" s="222">
        <f t="shared" si="26"/>
        <v>14.9</v>
      </c>
      <c r="G154" s="23">
        <f t="shared" si="23"/>
        <v>-57.257449999999999</v>
      </c>
      <c r="H154" s="23">
        <f t="shared" si="27"/>
        <v>-47.257449999999999</v>
      </c>
      <c r="I154" s="23">
        <f t="shared" si="27"/>
        <v>-37.257449999999999</v>
      </c>
      <c r="J154" s="23">
        <f t="shared" si="27"/>
        <v>-27.257449999999999</v>
      </c>
      <c r="K154" s="23">
        <f t="shared" si="27"/>
        <v>-17.257449999999999</v>
      </c>
      <c r="L154" s="23">
        <f t="shared" si="27"/>
        <v>-7.2574499999999986</v>
      </c>
      <c r="M154" s="23">
        <f t="shared" si="27"/>
        <v>2.7425500000000014</v>
      </c>
      <c r="N154" s="23">
        <f t="shared" si="27"/>
        <v>12.742550000000001</v>
      </c>
      <c r="O154" s="23">
        <f t="shared" si="27"/>
        <v>22.742550000000001</v>
      </c>
      <c r="P154" s="23">
        <f t="shared" si="27"/>
        <v>32.742550000000001</v>
      </c>
      <c r="Q154" s="23">
        <f t="shared" si="27"/>
        <v>42.742550000000001</v>
      </c>
      <c r="R154" s="23">
        <f t="shared" si="27"/>
        <v>52.742550000000001</v>
      </c>
      <c r="S154" s="23">
        <f t="shared" ref="H154:U173" si="30">S$4-$E154*R0()</f>
        <v>62.742550000000001</v>
      </c>
      <c r="T154" s="23">
        <f t="shared" si="30"/>
        <v>72.742549999999994</v>
      </c>
      <c r="U154" s="23">
        <f t="shared" si="20"/>
        <v>82.742549999999994</v>
      </c>
      <c r="V154" s="220">
        <f t="shared" si="29"/>
        <v>65.906583386094269</v>
      </c>
      <c r="W154" s="220">
        <f t="shared" si="29"/>
        <v>50.779547127235027</v>
      </c>
      <c r="X154" s="220">
        <f t="shared" si="29"/>
        <v>42.628119159371558</v>
      </c>
      <c r="Y154" s="220">
        <f t="shared" si="29"/>
        <v>37.111686493513339</v>
      </c>
      <c r="Z154" s="220">
        <f t="shared" si="29"/>
        <v>32.976306484650074</v>
      </c>
      <c r="AA154" s="220">
        <f t="shared" si="29"/>
        <v>29.686333590599013</v>
      </c>
      <c r="AB154" s="220">
        <f t="shared" si="29"/>
        <v>26.964818794836113</v>
      </c>
      <c r="AC154" s="220">
        <f t="shared" si="29"/>
        <v>24.650527653806741</v>
      </c>
      <c r="AD154" s="220">
        <f t="shared" si="29"/>
        <v>22.641607168882999</v>
      </c>
      <c r="AE154" s="220">
        <f t="shared" si="29"/>
        <v>20.869746680849943</v>
      </c>
    </row>
    <row r="155" spans="5:31" x14ac:dyDescent="0.25">
      <c r="E155" s="225">
        <v>1.4999999999999999E-2</v>
      </c>
      <c r="F155" s="222">
        <f t="shared" si="26"/>
        <v>15</v>
      </c>
      <c r="G155" s="23">
        <f t="shared" si="23"/>
        <v>-57.5075</v>
      </c>
      <c r="H155" s="23">
        <f t="shared" si="30"/>
        <v>-47.5075</v>
      </c>
      <c r="I155" s="23">
        <f t="shared" si="30"/>
        <v>-37.5075</v>
      </c>
      <c r="J155" s="23">
        <f t="shared" si="30"/>
        <v>-27.5075</v>
      </c>
      <c r="K155" s="23">
        <f t="shared" si="30"/>
        <v>-17.5075</v>
      </c>
      <c r="L155" s="23">
        <f t="shared" si="30"/>
        <v>-7.5075000000000003</v>
      </c>
      <c r="M155" s="23">
        <f t="shared" si="30"/>
        <v>2.4924999999999997</v>
      </c>
      <c r="N155" s="23">
        <f t="shared" si="30"/>
        <v>12.4925</v>
      </c>
      <c r="O155" s="23">
        <f t="shared" si="30"/>
        <v>22.4925</v>
      </c>
      <c r="P155" s="23">
        <f t="shared" si="30"/>
        <v>32.4925</v>
      </c>
      <c r="Q155" s="23">
        <f t="shared" si="30"/>
        <v>42.4925</v>
      </c>
      <c r="R155" s="23">
        <f t="shared" si="30"/>
        <v>52.4925</v>
      </c>
      <c r="S155" s="23">
        <f t="shared" si="30"/>
        <v>62.4925</v>
      </c>
      <c r="T155" s="23">
        <f t="shared" si="30"/>
        <v>72.492500000000007</v>
      </c>
      <c r="U155" s="23">
        <f t="shared" si="20"/>
        <v>82.492500000000007</v>
      </c>
      <c r="V155" s="220">
        <f t="shared" si="29"/>
        <v>66.068414134794068</v>
      </c>
      <c r="W155" s="220">
        <f t="shared" si="29"/>
        <v>50.923916026565273</v>
      </c>
      <c r="X155" s="220">
        <f t="shared" si="29"/>
        <v>42.763661477996301</v>
      </c>
      <c r="Y155" s="220">
        <f t="shared" si="29"/>
        <v>37.24137189305798</v>
      </c>
      <c r="Z155" s="220">
        <f t="shared" si="29"/>
        <v>33.101662887493184</v>
      </c>
      <c r="AA155" s="220">
        <f t="shared" si="29"/>
        <v>29.808283704018571</v>
      </c>
      <c r="AB155" s="220">
        <f t="shared" si="29"/>
        <v>27.083976434588827</v>
      </c>
      <c r="AC155" s="220">
        <f t="shared" si="29"/>
        <v>24.767328654908773</v>
      </c>
      <c r="AD155" s="220">
        <f t="shared" si="29"/>
        <v>22.756375898791397</v>
      </c>
      <c r="AE155" s="220">
        <f t="shared" si="29"/>
        <v>20.982733297772462</v>
      </c>
    </row>
    <row r="156" spans="5:31" x14ac:dyDescent="0.25">
      <c r="E156" s="225">
        <v>1.5100000000000001E-2</v>
      </c>
      <c r="F156" s="222">
        <f t="shared" si="26"/>
        <v>15.100000000000001</v>
      </c>
      <c r="G156" s="23">
        <f t="shared" si="23"/>
        <v>-57.757550000000002</v>
      </c>
      <c r="H156" s="23">
        <f t="shared" si="30"/>
        <v>-47.757550000000002</v>
      </c>
      <c r="I156" s="23">
        <f t="shared" si="30"/>
        <v>-37.757550000000002</v>
      </c>
      <c r="J156" s="23">
        <f t="shared" si="30"/>
        <v>-27.757550000000002</v>
      </c>
      <c r="K156" s="23">
        <f t="shared" si="30"/>
        <v>-17.757550000000002</v>
      </c>
      <c r="L156" s="23">
        <f t="shared" si="30"/>
        <v>-7.7575500000000019</v>
      </c>
      <c r="M156" s="23">
        <f t="shared" si="30"/>
        <v>2.2424499999999981</v>
      </c>
      <c r="N156" s="23">
        <f t="shared" si="30"/>
        <v>12.242449999999998</v>
      </c>
      <c r="O156" s="23">
        <f t="shared" si="30"/>
        <v>22.242449999999998</v>
      </c>
      <c r="P156" s="23">
        <f t="shared" si="30"/>
        <v>32.242449999999998</v>
      </c>
      <c r="Q156" s="23">
        <f t="shared" si="30"/>
        <v>42.242449999999998</v>
      </c>
      <c r="R156" s="23">
        <f t="shared" si="30"/>
        <v>52.242449999999998</v>
      </c>
      <c r="S156" s="23">
        <f t="shared" si="30"/>
        <v>62.242449999999998</v>
      </c>
      <c r="T156" s="23">
        <f t="shared" si="30"/>
        <v>72.242449999999991</v>
      </c>
      <c r="U156" s="23">
        <f t="shared" si="20"/>
        <v>82.242449999999991</v>
      </c>
      <c r="V156" s="220">
        <f t="shared" ref="V156:AE165" si="31">Enthalpie_p_phi_x(hx_druck,V$4,$E156)-$E156*R0()</f>
        <v>66.229426668514606</v>
      </c>
      <c r="W156" s="220">
        <f t="shared" si="31"/>
        <v>51.06753722791381</v>
      </c>
      <c r="X156" s="220">
        <f t="shared" si="31"/>
        <v>42.898493542561404</v>
      </c>
      <c r="Y156" s="220">
        <f t="shared" si="31"/>
        <v>37.370371937221329</v>
      </c>
      <c r="Z156" s="220">
        <f t="shared" si="31"/>
        <v>33.226352363229928</v>
      </c>
      <c r="AA156" s="220">
        <f t="shared" si="31"/>
        <v>29.929581404743551</v>
      </c>
      <c r="AB156" s="220">
        <f t="shared" si="31"/>
        <v>27.202493569277358</v>
      </c>
      <c r="AC156" s="220">
        <f t="shared" si="31"/>
        <v>24.883499205908549</v>
      </c>
      <c r="AD156" s="220">
        <f t="shared" si="31"/>
        <v>22.870522853672014</v>
      </c>
      <c r="AE156" s="220">
        <f t="shared" si="31"/>
        <v>21.095105749873269</v>
      </c>
    </row>
    <row r="157" spans="5:31" x14ac:dyDescent="0.25">
      <c r="E157" s="225">
        <v>1.52E-2</v>
      </c>
      <c r="F157" s="222">
        <f t="shared" si="26"/>
        <v>15.2</v>
      </c>
      <c r="G157" s="23">
        <f t="shared" si="23"/>
        <v>-58.007599999999996</v>
      </c>
      <c r="H157" s="23">
        <f t="shared" si="30"/>
        <v>-48.007599999999996</v>
      </c>
      <c r="I157" s="23">
        <f t="shared" si="30"/>
        <v>-38.007599999999996</v>
      </c>
      <c r="J157" s="23">
        <f t="shared" si="30"/>
        <v>-28.007599999999996</v>
      </c>
      <c r="K157" s="23">
        <f t="shared" si="30"/>
        <v>-18.007599999999996</v>
      </c>
      <c r="L157" s="23">
        <f t="shared" si="30"/>
        <v>-8.0075999999999965</v>
      </c>
      <c r="M157" s="23">
        <f t="shared" si="30"/>
        <v>1.9924000000000035</v>
      </c>
      <c r="N157" s="23">
        <f t="shared" si="30"/>
        <v>11.992400000000004</v>
      </c>
      <c r="O157" s="23">
        <f t="shared" si="30"/>
        <v>21.992400000000004</v>
      </c>
      <c r="P157" s="23">
        <f t="shared" si="30"/>
        <v>31.992400000000004</v>
      </c>
      <c r="Q157" s="23">
        <f t="shared" si="30"/>
        <v>41.992400000000004</v>
      </c>
      <c r="R157" s="23">
        <f t="shared" si="30"/>
        <v>51.992400000000004</v>
      </c>
      <c r="S157" s="23">
        <f t="shared" si="30"/>
        <v>61.992400000000004</v>
      </c>
      <c r="T157" s="23">
        <f t="shared" si="30"/>
        <v>71.992400000000004</v>
      </c>
      <c r="U157" s="23">
        <f t="shared" si="20"/>
        <v>81.992400000000004</v>
      </c>
      <c r="V157" s="220">
        <f t="shared" si="31"/>
        <v>66.389631212532947</v>
      </c>
      <c r="W157" s="220">
        <f t="shared" si="31"/>
        <v>51.210420128018683</v>
      </c>
      <c r="X157" s="220">
        <f t="shared" si="31"/>
        <v>43.03262429351588</v>
      </c>
      <c r="Y157" s="220">
        <f t="shared" si="31"/>
        <v>37.498695262425912</v>
      </c>
      <c r="Z157" s="220">
        <f t="shared" si="31"/>
        <v>33.350383322940914</v>
      </c>
      <c r="AA157" s="220">
        <f t="shared" si="31"/>
        <v>30.050234926175136</v>
      </c>
      <c r="AB157" s="220">
        <f t="shared" si="31"/>
        <v>27.320378286403709</v>
      </c>
      <c r="AC157" s="220">
        <f t="shared" si="31"/>
        <v>24.999047271015897</v>
      </c>
      <c r="AD157" s="220">
        <f t="shared" si="31"/>
        <v>22.98405589129348</v>
      </c>
      <c r="AE157" s="220">
        <f t="shared" si="31"/>
        <v>21.206871801492568</v>
      </c>
    </row>
    <row r="158" spans="5:31" x14ac:dyDescent="0.25">
      <c r="E158" s="225">
        <v>1.5299999999999999E-2</v>
      </c>
      <c r="F158" s="222">
        <f t="shared" si="26"/>
        <v>15.299999999999999</v>
      </c>
      <c r="G158" s="23">
        <f t="shared" si="23"/>
        <v>-58.257649999999998</v>
      </c>
      <c r="H158" s="23">
        <f t="shared" si="30"/>
        <v>-48.257649999999998</v>
      </c>
      <c r="I158" s="23">
        <f t="shared" si="30"/>
        <v>-38.257649999999998</v>
      </c>
      <c r="J158" s="23">
        <f t="shared" si="30"/>
        <v>-28.257649999999998</v>
      </c>
      <c r="K158" s="23">
        <f t="shared" si="30"/>
        <v>-18.257649999999998</v>
      </c>
      <c r="L158" s="23">
        <f t="shared" si="30"/>
        <v>-8.2576499999999982</v>
      </c>
      <c r="M158" s="23">
        <f t="shared" si="30"/>
        <v>1.7423500000000018</v>
      </c>
      <c r="N158" s="23">
        <f t="shared" si="30"/>
        <v>11.742350000000002</v>
      </c>
      <c r="O158" s="23">
        <f t="shared" si="30"/>
        <v>21.742350000000002</v>
      </c>
      <c r="P158" s="23">
        <f t="shared" si="30"/>
        <v>31.742350000000002</v>
      </c>
      <c r="Q158" s="23">
        <f t="shared" si="30"/>
        <v>41.742350000000002</v>
      </c>
      <c r="R158" s="23">
        <f t="shared" si="30"/>
        <v>51.742350000000002</v>
      </c>
      <c r="S158" s="23">
        <f t="shared" si="30"/>
        <v>61.742350000000002</v>
      </c>
      <c r="T158" s="23">
        <f t="shared" si="30"/>
        <v>71.742350000000002</v>
      </c>
      <c r="U158" s="23">
        <f t="shared" si="20"/>
        <v>81.742350000000002</v>
      </c>
      <c r="V158" s="220">
        <f t="shared" si="31"/>
        <v>66.549037798779452</v>
      </c>
      <c r="W158" s="220">
        <f t="shared" si="31"/>
        <v>51.352573945408139</v>
      </c>
      <c r="X158" s="220">
        <f t="shared" si="31"/>
        <v>43.166062501580527</v>
      </c>
      <c r="Y158" s="220">
        <f t="shared" si="31"/>
        <v>37.626350341024349</v>
      </c>
      <c r="Z158" s="220">
        <f t="shared" si="31"/>
        <v>33.473764017834625</v>
      </c>
      <c r="AA158" s="220">
        <f t="shared" si="31"/>
        <v>30.170252345154651</v>
      </c>
      <c r="AB158" s="220">
        <f t="shared" si="31"/>
        <v>27.437638519631335</v>
      </c>
      <c r="AC158" s="220">
        <f t="shared" si="31"/>
        <v>25.113980662902833</v>
      </c>
      <c r="AD158" s="220">
        <f t="shared" si="31"/>
        <v>23.096982719873679</v>
      </c>
      <c r="AE158" s="220">
        <f t="shared" si="31"/>
        <v>21.318039069164477</v>
      </c>
    </row>
    <row r="159" spans="5:31" x14ac:dyDescent="0.25">
      <c r="E159" s="225">
        <v>1.54E-2</v>
      </c>
      <c r="F159" s="222">
        <f t="shared" si="26"/>
        <v>15.4</v>
      </c>
      <c r="G159" s="23">
        <f t="shared" si="23"/>
        <v>-58.5077</v>
      </c>
      <c r="H159" s="23">
        <f t="shared" si="30"/>
        <v>-48.5077</v>
      </c>
      <c r="I159" s="23">
        <f t="shared" si="30"/>
        <v>-38.5077</v>
      </c>
      <c r="J159" s="23">
        <f t="shared" si="30"/>
        <v>-28.5077</v>
      </c>
      <c r="K159" s="23">
        <f t="shared" si="30"/>
        <v>-18.5077</v>
      </c>
      <c r="L159" s="23">
        <f t="shared" si="30"/>
        <v>-8.5076999999999998</v>
      </c>
      <c r="M159" s="23">
        <f t="shared" si="30"/>
        <v>1.4923000000000002</v>
      </c>
      <c r="N159" s="23">
        <f t="shared" si="30"/>
        <v>11.4923</v>
      </c>
      <c r="O159" s="23">
        <f t="shared" si="30"/>
        <v>21.4923</v>
      </c>
      <c r="P159" s="23">
        <f t="shared" si="30"/>
        <v>31.4923</v>
      </c>
      <c r="Q159" s="23">
        <f t="shared" si="30"/>
        <v>41.4923</v>
      </c>
      <c r="R159" s="23">
        <f t="shared" si="30"/>
        <v>51.4923</v>
      </c>
      <c r="S159" s="23">
        <f t="shared" si="30"/>
        <v>61.4923</v>
      </c>
      <c r="T159" s="23">
        <f t="shared" si="30"/>
        <v>71.4923</v>
      </c>
      <c r="U159" s="23">
        <f t="shared" si="20"/>
        <v>81.4923</v>
      </c>
      <c r="V159" s="220">
        <f t="shared" si="31"/>
        <v>66.707656270728677</v>
      </c>
      <c r="W159" s="220">
        <f t="shared" si="31"/>
        <v>51.494007724916457</v>
      </c>
      <c r="X159" s="220">
        <f t="shared" si="31"/>
        <v>43.298816772051808</v>
      </c>
      <c r="Y159" s="220">
        <f t="shared" si="31"/>
        <v>37.753345485462035</v>
      </c>
      <c r="Z159" s="220">
        <f t="shared" si="31"/>
        <v>33.596502543305107</v>
      </c>
      <c r="AA159" s="220">
        <f t="shared" si="31"/>
        <v>30.28964158593827</v>
      </c>
      <c r="AB159" s="220">
        <f t="shared" si="31"/>
        <v>27.55428205269169</v>
      </c>
      <c r="AC159" s="220">
        <f t="shared" si="31"/>
        <v>25.228307046552615</v>
      </c>
      <c r="AD159" s="220">
        <f t="shared" si="31"/>
        <v>23.209310901879093</v>
      </c>
      <c r="AE159" s="220">
        <f t="shared" si="31"/>
        <v>21.428615025372693</v>
      </c>
    </row>
    <row r="160" spans="5:31" x14ac:dyDescent="0.25">
      <c r="E160" s="225">
        <v>1.55E-2</v>
      </c>
      <c r="F160" s="222">
        <f t="shared" si="26"/>
        <v>15.5</v>
      </c>
      <c r="G160" s="23">
        <f t="shared" si="23"/>
        <v>-58.757750000000001</v>
      </c>
      <c r="H160" s="23">
        <f t="shared" si="30"/>
        <v>-48.757750000000001</v>
      </c>
      <c r="I160" s="23">
        <f t="shared" si="30"/>
        <v>-38.757750000000001</v>
      </c>
      <c r="J160" s="23">
        <f t="shared" si="30"/>
        <v>-28.757750000000001</v>
      </c>
      <c r="K160" s="23">
        <f t="shared" si="30"/>
        <v>-18.757750000000001</v>
      </c>
      <c r="L160" s="23">
        <f t="shared" si="30"/>
        <v>-8.7577500000000015</v>
      </c>
      <c r="M160" s="23">
        <f t="shared" si="30"/>
        <v>1.2422499999999985</v>
      </c>
      <c r="N160" s="23">
        <f t="shared" si="30"/>
        <v>11.242249999999999</v>
      </c>
      <c r="O160" s="23">
        <f t="shared" si="30"/>
        <v>21.242249999999999</v>
      </c>
      <c r="P160" s="23">
        <f t="shared" si="30"/>
        <v>31.242249999999999</v>
      </c>
      <c r="Q160" s="23">
        <f t="shared" si="30"/>
        <v>41.242249999999999</v>
      </c>
      <c r="R160" s="23">
        <f t="shared" si="30"/>
        <v>51.242249999999999</v>
      </c>
      <c r="S160" s="23">
        <f t="shared" si="30"/>
        <v>61.242249999999999</v>
      </c>
      <c r="T160" s="23">
        <f t="shared" si="30"/>
        <v>71.242249999999999</v>
      </c>
      <c r="U160" s="23">
        <f t="shared" si="20"/>
        <v>81.242249999999999</v>
      </c>
      <c r="V160" s="220">
        <f t="shared" si="31"/>
        <v>66.865496288136271</v>
      </c>
      <c r="W160" s="220">
        <f t="shared" si="31"/>
        <v>51.634730342056884</v>
      </c>
      <c r="X160" s="220">
        <f t="shared" si="31"/>
        <v>43.430895548969758</v>
      </c>
      <c r="Y160" s="220">
        <f t="shared" si="31"/>
        <v>37.879688852307893</v>
      </c>
      <c r="Z160" s="220">
        <f t="shared" si="31"/>
        <v>33.718606842861035</v>
      </c>
      <c r="AA160" s="220">
        <f t="shared" si="31"/>
        <v>30.408410424045854</v>
      </c>
      <c r="AB160" s="220">
        <f t="shared" si="31"/>
        <v>27.670316523167187</v>
      </c>
      <c r="AC160" s="220">
        <f t="shared" si="31"/>
        <v>25.342033942986646</v>
      </c>
      <c r="AD160" s="220">
        <f t="shared" si="31"/>
        <v>23.321047857703491</v>
      </c>
      <c r="AE160" s="220">
        <f t="shared" si="31"/>
        <v>21.538607002187113</v>
      </c>
    </row>
    <row r="161" spans="5:31" x14ac:dyDescent="0.25">
      <c r="E161" s="225">
        <v>1.5599999999999999E-2</v>
      </c>
      <c r="F161" s="222">
        <f t="shared" si="26"/>
        <v>15.6</v>
      </c>
      <c r="G161" s="23">
        <f t="shared" si="23"/>
        <v>-59.007799999999996</v>
      </c>
      <c r="H161" s="23">
        <f t="shared" si="30"/>
        <v>-49.007799999999996</v>
      </c>
      <c r="I161" s="23">
        <f t="shared" si="30"/>
        <v>-39.007799999999996</v>
      </c>
      <c r="J161" s="23">
        <f t="shared" si="30"/>
        <v>-29.007799999999996</v>
      </c>
      <c r="K161" s="23">
        <f t="shared" si="30"/>
        <v>-19.007799999999996</v>
      </c>
      <c r="L161" s="23">
        <f t="shared" si="30"/>
        <v>-9.007799999999996</v>
      </c>
      <c r="M161" s="23">
        <f t="shared" si="30"/>
        <v>0.99220000000000397</v>
      </c>
      <c r="N161" s="23">
        <f t="shared" si="30"/>
        <v>10.992200000000004</v>
      </c>
      <c r="O161" s="23">
        <f t="shared" si="30"/>
        <v>20.992200000000004</v>
      </c>
      <c r="P161" s="23">
        <f t="shared" si="30"/>
        <v>30.992200000000004</v>
      </c>
      <c r="Q161" s="23">
        <f t="shared" si="30"/>
        <v>40.992200000000004</v>
      </c>
      <c r="R161" s="23">
        <f t="shared" si="30"/>
        <v>50.992200000000004</v>
      </c>
      <c r="S161" s="23">
        <f t="shared" si="30"/>
        <v>60.992200000000004</v>
      </c>
      <c r="T161" s="23">
        <f t="shared" si="30"/>
        <v>70.992199999999997</v>
      </c>
      <c r="U161" s="23">
        <f t="shared" si="20"/>
        <v>80.992199999999997</v>
      </c>
      <c r="V161" s="220">
        <f t="shared" si="31"/>
        <v>67.022567331626647</v>
      </c>
      <c r="W161" s="220">
        <f t="shared" si="31"/>
        <v>51.774750507257274</v>
      </c>
      <c r="X161" s="220">
        <f t="shared" si="31"/>
        <v>43.562307119154674</v>
      </c>
      <c r="Y161" s="220">
        <f t="shared" si="31"/>
        <v>38.005388446158356</v>
      </c>
      <c r="Z161" s="220">
        <f t="shared" si="31"/>
        <v>33.840084711931134</v>
      </c>
      <c r="AA161" s="220">
        <f t="shared" si="31"/>
        <v>30.526566489988575</v>
      </c>
      <c r="AB161" s="220">
        <f t="shared" si="31"/>
        <v>27.785749426154801</v>
      </c>
      <c r="AC161" s="220">
        <f t="shared" si="31"/>
        <v>25.455168732874291</v>
      </c>
      <c r="AD161" s="220">
        <f t="shared" si="31"/>
        <v>23.432200869230961</v>
      </c>
      <c r="AE161" s="220">
        <f t="shared" si="31"/>
        <v>21.64802219478559</v>
      </c>
    </row>
    <row r="162" spans="5:31" x14ac:dyDescent="0.25">
      <c r="E162" s="225">
        <v>1.5699999999999999E-2</v>
      </c>
      <c r="F162" s="222">
        <f t="shared" si="26"/>
        <v>15.7</v>
      </c>
      <c r="G162" s="23">
        <f t="shared" si="23"/>
        <v>-59.257849999999998</v>
      </c>
      <c r="H162" s="23">
        <f t="shared" si="30"/>
        <v>-49.257849999999998</v>
      </c>
      <c r="I162" s="23">
        <f t="shared" si="30"/>
        <v>-39.257849999999998</v>
      </c>
      <c r="J162" s="23">
        <f t="shared" si="30"/>
        <v>-29.257849999999998</v>
      </c>
      <c r="K162" s="23">
        <f t="shared" si="30"/>
        <v>-19.257849999999998</v>
      </c>
      <c r="L162" s="23">
        <f t="shared" si="30"/>
        <v>-9.2578499999999977</v>
      </c>
      <c r="M162" s="23">
        <f t="shared" si="30"/>
        <v>0.74215000000000231</v>
      </c>
      <c r="N162" s="23">
        <f t="shared" si="30"/>
        <v>10.742150000000002</v>
      </c>
      <c r="O162" s="23">
        <f t="shared" si="30"/>
        <v>20.742150000000002</v>
      </c>
      <c r="P162" s="23">
        <f t="shared" si="30"/>
        <v>30.742150000000002</v>
      </c>
      <c r="Q162" s="23">
        <f t="shared" si="30"/>
        <v>40.742150000000002</v>
      </c>
      <c r="R162" s="23">
        <f t="shared" si="30"/>
        <v>50.742150000000002</v>
      </c>
      <c r="S162" s="23">
        <f t="shared" si="30"/>
        <v>60.742150000000002</v>
      </c>
      <c r="T162" s="23">
        <f t="shared" si="30"/>
        <v>70.742150000000009</v>
      </c>
      <c r="U162" s="23">
        <f t="shared" si="20"/>
        <v>80.742150000000009</v>
      </c>
      <c r="V162" s="220">
        <f t="shared" si="31"/>
        <v>67.178878707137358</v>
      </c>
      <c r="W162" s="220">
        <f t="shared" si="31"/>
        <v>51.914076769963081</v>
      </c>
      <c r="X162" s="220">
        <f t="shared" si="31"/>
        <v>43.693059616117559</v>
      </c>
      <c r="Y162" s="220">
        <f t="shared" si="31"/>
        <v>38.130452123419239</v>
      </c>
      <c r="Z162" s="220">
        <f t="shared" si="31"/>
        <v>33.960943801550549</v>
      </c>
      <c r="AA162" s="220">
        <f t="shared" si="31"/>
        <v>30.644117272879903</v>
      </c>
      <c r="AB162" s="220">
        <f t="shared" si="31"/>
        <v>27.900588117815111</v>
      </c>
      <c r="AC162" s="220">
        <f t="shared" si="31"/>
        <v>25.567718660029264</v>
      </c>
      <c r="AD162" s="220">
        <f t="shared" si="31"/>
        <v>23.542777083287142</v>
      </c>
      <c r="AE162" s="220">
        <f t="shared" si="31"/>
        <v>21.756867664865503</v>
      </c>
    </row>
    <row r="163" spans="5:31" x14ac:dyDescent="0.25">
      <c r="E163" s="225">
        <v>1.5800000000000002E-2</v>
      </c>
      <c r="F163" s="222">
        <f t="shared" si="26"/>
        <v>15.8</v>
      </c>
      <c r="G163" s="23">
        <f t="shared" si="23"/>
        <v>-59.507900000000006</v>
      </c>
      <c r="H163" s="23">
        <f t="shared" si="30"/>
        <v>-49.507900000000006</v>
      </c>
      <c r="I163" s="23">
        <f t="shared" si="30"/>
        <v>-39.507900000000006</v>
      </c>
      <c r="J163" s="23">
        <f t="shared" si="30"/>
        <v>-29.507900000000006</v>
      </c>
      <c r="K163" s="23">
        <f t="shared" si="30"/>
        <v>-19.507900000000006</v>
      </c>
      <c r="L163" s="23">
        <f t="shared" si="30"/>
        <v>-9.5079000000000065</v>
      </c>
      <c r="M163" s="23">
        <f t="shared" si="30"/>
        <v>0.49209999999999354</v>
      </c>
      <c r="N163" s="23">
        <f t="shared" si="30"/>
        <v>10.492099999999994</v>
      </c>
      <c r="O163" s="23">
        <f t="shared" si="30"/>
        <v>20.492099999999994</v>
      </c>
      <c r="P163" s="23">
        <f t="shared" si="30"/>
        <v>30.492099999999994</v>
      </c>
      <c r="Q163" s="23">
        <f t="shared" si="30"/>
        <v>40.492099999999994</v>
      </c>
      <c r="R163" s="23">
        <f t="shared" si="30"/>
        <v>50.492099999999994</v>
      </c>
      <c r="S163" s="23">
        <f t="shared" si="30"/>
        <v>60.492099999999994</v>
      </c>
      <c r="T163" s="23">
        <f t="shared" si="30"/>
        <v>70.492099999999994</v>
      </c>
      <c r="U163" s="23">
        <f t="shared" si="30"/>
        <v>80.492099999999994</v>
      </c>
      <c r="V163" s="220">
        <f t="shared" si="31"/>
        <v>67.334439550226193</v>
      </c>
      <c r="W163" s="220">
        <f t="shared" si="31"/>
        <v>52.05271752261325</v>
      </c>
      <c r="X163" s="220">
        <f t="shared" si="31"/>
        <v>43.82316102384921</v>
      </c>
      <c r="Y163" s="220">
        <f t="shared" si="31"/>
        <v>38.254887595970047</v>
      </c>
      <c r="Z163" s="220">
        <f t="shared" si="31"/>
        <v>34.081191621932632</v>
      </c>
      <c r="AA163" s="220">
        <f t="shared" si="31"/>
        <v>30.761070123934331</v>
      </c>
      <c r="AB163" s="220">
        <f t="shared" si="31"/>
        <v>28.014839818811012</v>
      </c>
      <c r="AC163" s="220">
        <f t="shared" si="31"/>
        <v>25.679690834797697</v>
      </c>
      <c r="AD163" s="220">
        <f t="shared" si="31"/>
        <v>23.652783514983341</v>
      </c>
      <c r="AE163" s="220">
        <f t="shared" si="31"/>
        <v>21.865150343949374</v>
      </c>
    </row>
    <row r="164" spans="5:31" x14ac:dyDescent="0.25">
      <c r="E164" s="225">
        <v>1.5900000000000001E-2</v>
      </c>
      <c r="F164" s="222">
        <f t="shared" si="26"/>
        <v>15.9</v>
      </c>
      <c r="G164" s="23">
        <f t="shared" si="23"/>
        <v>-59.757950000000001</v>
      </c>
      <c r="H164" s="23">
        <f t="shared" si="30"/>
        <v>-49.757950000000001</v>
      </c>
      <c r="I164" s="23">
        <f t="shared" si="30"/>
        <v>-39.757950000000001</v>
      </c>
      <c r="J164" s="23">
        <f t="shared" si="30"/>
        <v>-29.757950000000001</v>
      </c>
      <c r="K164" s="23">
        <f t="shared" si="30"/>
        <v>-19.757950000000001</v>
      </c>
      <c r="L164" s="23">
        <f t="shared" si="30"/>
        <v>-9.757950000000001</v>
      </c>
      <c r="M164" s="23">
        <f t="shared" si="30"/>
        <v>0.24204999999999899</v>
      </c>
      <c r="N164" s="23">
        <f t="shared" si="30"/>
        <v>10.242049999999999</v>
      </c>
      <c r="O164" s="23">
        <f t="shared" si="30"/>
        <v>20.242049999999999</v>
      </c>
      <c r="P164" s="23">
        <f t="shared" si="30"/>
        <v>30.242049999999999</v>
      </c>
      <c r="Q164" s="23">
        <f t="shared" si="30"/>
        <v>40.242049999999999</v>
      </c>
      <c r="R164" s="23">
        <f t="shared" si="30"/>
        <v>50.242049999999999</v>
      </c>
      <c r="S164" s="23">
        <f t="shared" si="30"/>
        <v>60.242049999999999</v>
      </c>
      <c r="T164" s="23">
        <f t="shared" si="30"/>
        <v>70.242050000000006</v>
      </c>
      <c r="U164" s="23">
        <f t="shared" si="30"/>
        <v>80.242050000000006</v>
      </c>
      <c r="V164" s="220">
        <f t="shared" si="31"/>
        <v>67.489258830245035</v>
      </c>
      <c r="W164" s="220">
        <f t="shared" si="31"/>
        <v>52.190681004493278</v>
      </c>
      <c r="X164" s="220">
        <f t="shared" si="31"/>
        <v>43.952619180492285</v>
      </c>
      <c r="Y164" s="220">
        <f t="shared" si="31"/>
        <v>38.378702434715187</v>
      </c>
      <c r="Z164" s="220">
        <f t="shared" si="31"/>
        <v>34.200835545930396</v>
      </c>
      <c r="AA164" s="220">
        <f t="shared" si="31"/>
        <v>30.877432259857976</v>
      </c>
      <c r="AB164" s="220">
        <f t="shared" si="31"/>
        <v>28.128511617640093</v>
      </c>
      <c r="AC164" s="220">
        <f t="shared" si="31"/>
        <v>25.791092237341282</v>
      </c>
      <c r="AD164" s="220">
        <f t="shared" si="31"/>
        <v>23.762227050957115</v>
      </c>
      <c r="AE164" s="220">
        <f t="shared" si="31"/>
        <v>21.972877036587967</v>
      </c>
    </row>
    <row r="165" spans="5:31" x14ac:dyDescent="0.25">
      <c r="E165" s="225">
        <v>1.6E-2</v>
      </c>
      <c r="F165" s="222">
        <f t="shared" si="26"/>
        <v>16</v>
      </c>
      <c r="G165" s="23">
        <f t="shared" si="23"/>
        <v>-60.008000000000003</v>
      </c>
      <c r="H165" s="23">
        <f t="shared" si="30"/>
        <v>-50.008000000000003</v>
      </c>
      <c r="I165" s="23">
        <f t="shared" si="30"/>
        <v>-40.008000000000003</v>
      </c>
      <c r="J165" s="23">
        <f t="shared" si="30"/>
        <v>-30.008000000000003</v>
      </c>
      <c r="K165" s="23">
        <f t="shared" si="30"/>
        <v>-20.008000000000003</v>
      </c>
      <c r="L165" s="23">
        <f t="shared" si="30"/>
        <v>-10.008000000000003</v>
      </c>
      <c r="M165" s="23">
        <f t="shared" si="30"/>
        <v>-8.0000000000026716E-3</v>
      </c>
      <c r="N165" s="23">
        <f t="shared" si="30"/>
        <v>9.9919999999999973</v>
      </c>
      <c r="O165" s="23">
        <f t="shared" si="30"/>
        <v>19.991999999999997</v>
      </c>
      <c r="P165" s="23">
        <f t="shared" si="30"/>
        <v>29.991999999999997</v>
      </c>
      <c r="Q165" s="23">
        <f t="shared" si="30"/>
        <v>39.991999999999997</v>
      </c>
      <c r="R165" s="23">
        <f t="shared" si="30"/>
        <v>49.991999999999997</v>
      </c>
      <c r="S165" s="23">
        <f t="shared" si="30"/>
        <v>59.991999999999997</v>
      </c>
      <c r="T165" s="23">
        <f t="shared" si="30"/>
        <v>69.99199999999999</v>
      </c>
      <c r="U165" s="23">
        <f t="shared" si="30"/>
        <v>79.99199999999999</v>
      </c>
      <c r="V165" s="220">
        <f t="shared" si="31"/>
        <v>67.643345354385957</v>
      </c>
      <c r="W165" s="220">
        <f t="shared" si="31"/>
        <v>52.327975305470311</v>
      </c>
      <c r="X165" s="220">
        <f t="shared" si="31"/>
        <v>44.081441781900743</v>
      </c>
      <c r="Y165" s="220">
        <f t="shared" si="31"/>
        <v>38.501904073026189</v>
      </c>
      <c r="Z165" s="220">
        <f t="shared" si="31"/>
        <v>34.319882812391818</v>
      </c>
      <c r="AA165" s="220">
        <f t="shared" si="31"/>
        <v>30.993210766135185</v>
      </c>
      <c r="AB165" s="220">
        <f t="shared" si="31"/>
        <v>28.241610473864718</v>
      </c>
      <c r="AC165" s="220">
        <f t="shared" si="31"/>
        <v>25.901929720819616</v>
      </c>
      <c r="AD165" s="220">
        <f t="shared" si="31"/>
        <v>23.87111445251346</v>
      </c>
      <c r="AE165" s="220">
        <f t="shared" si="31"/>
        <v>22.080054423465469</v>
      </c>
    </row>
    <row r="166" spans="5:31" x14ac:dyDescent="0.25">
      <c r="E166" s="225">
        <v>1.61E-2</v>
      </c>
      <c r="F166" s="222">
        <f t="shared" si="26"/>
        <v>16.100000000000001</v>
      </c>
      <c r="G166" s="23">
        <f t="shared" si="23"/>
        <v>-60.258049999999997</v>
      </c>
      <c r="H166" s="23">
        <f t="shared" si="30"/>
        <v>-50.258049999999997</v>
      </c>
      <c r="I166" s="23">
        <f t="shared" si="30"/>
        <v>-40.258049999999997</v>
      </c>
      <c r="J166" s="23">
        <f t="shared" si="30"/>
        <v>-30.258049999999997</v>
      </c>
      <c r="K166" s="23">
        <f t="shared" si="30"/>
        <v>-20.258049999999997</v>
      </c>
      <c r="L166" s="23">
        <f t="shared" si="30"/>
        <v>-10.258049999999997</v>
      </c>
      <c r="M166" s="23">
        <f t="shared" si="30"/>
        <v>-0.25804999999999723</v>
      </c>
      <c r="N166" s="23">
        <f t="shared" si="30"/>
        <v>9.7419500000000028</v>
      </c>
      <c r="O166" s="23">
        <f t="shared" si="30"/>
        <v>19.741950000000003</v>
      </c>
      <c r="P166" s="23">
        <f t="shared" si="30"/>
        <v>29.741950000000003</v>
      </c>
      <c r="Q166" s="23">
        <f t="shared" si="30"/>
        <v>39.741950000000003</v>
      </c>
      <c r="R166" s="23">
        <f t="shared" si="30"/>
        <v>49.741950000000003</v>
      </c>
      <c r="S166" s="23">
        <f t="shared" si="30"/>
        <v>59.741950000000003</v>
      </c>
      <c r="T166" s="23">
        <f t="shared" si="30"/>
        <v>69.741950000000003</v>
      </c>
      <c r="U166" s="23">
        <f t="shared" si="30"/>
        <v>79.741950000000003</v>
      </c>
      <c r="V166" s="220">
        <f t="shared" ref="V166:AE175" si="32">Enthalpie_p_phi_x(hx_druck,V$4,$E166)-$E166*R0()</f>
        <v>67.796707771604602</v>
      </c>
      <c r="W166" s="220">
        <f t="shared" si="32"/>
        <v>52.464608369614353</v>
      </c>
      <c r="X166" s="220">
        <f t="shared" si="32"/>
        <v>44.209636385090846</v>
      </c>
      <c r="Y166" s="220">
        <f t="shared" si="32"/>
        <v>38.624499810079044</v>
      </c>
      <c r="Z166" s="220">
        <f t="shared" si="32"/>
        <v>34.438340529412613</v>
      </c>
      <c r="AA166" s="220">
        <f t="shared" si="32"/>
        <v>31.108412600214848</v>
      </c>
      <c r="AB166" s="220">
        <f t="shared" si="32"/>
        <v>28.354143221243717</v>
      </c>
      <c r="AC166" s="220">
        <f t="shared" si="32"/>
        <v>26.012210014475457</v>
      </c>
      <c r="AD166" s="220">
        <f t="shared" si="32"/>
        <v>23.979452358670017</v>
      </c>
      <c r="AE166" s="220">
        <f t="shared" si="32"/>
        <v>22.186689064409293</v>
      </c>
    </row>
    <row r="167" spans="5:31" x14ac:dyDescent="0.25">
      <c r="E167" s="225">
        <v>1.6199999999999999E-2</v>
      </c>
      <c r="F167" s="222">
        <f t="shared" si="26"/>
        <v>16.2</v>
      </c>
      <c r="G167" s="23">
        <f t="shared" si="23"/>
        <v>-60.508099999999999</v>
      </c>
      <c r="H167" s="23">
        <f t="shared" si="30"/>
        <v>-50.508099999999999</v>
      </c>
      <c r="I167" s="23">
        <f t="shared" si="30"/>
        <v>-40.508099999999999</v>
      </c>
      <c r="J167" s="23">
        <f t="shared" si="30"/>
        <v>-30.508099999999999</v>
      </c>
      <c r="K167" s="23">
        <f t="shared" si="30"/>
        <v>-20.508099999999999</v>
      </c>
      <c r="L167" s="23">
        <f t="shared" si="30"/>
        <v>-10.508099999999999</v>
      </c>
      <c r="M167" s="23">
        <f t="shared" si="30"/>
        <v>-0.50809999999999889</v>
      </c>
      <c r="N167" s="23">
        <f t="shared" si="30"/>
        <v>9.4919000000000011</v>
      </c>
      <c r="O167" s="23">
        <f t="shared" si="30"/>
        <v>19.491900000000001</v>
      </c>
      <c r="P167" s="23">
        <f t="shared" si="30"/>
        <v>29.491900000000001</v>
      </c>
      <c r="Q167" s="23">
        <f t="shared" si="30"/>
        <v>39.491900000000001</v>
      </c>
      <c r="R167" s="23">
        <f t="shared" si="30"/>
        <v>49.491900000000001</v>
      </c>
      <c r="S167" s="23">
        <f t="shared" si="30"/>
        <v>59.491900000000001</v>
      </c>
      <c r="T167" s="23">
        <f t="shared" si="30"/>
        <v>69.491900000000001</v>
      </c>
      <c r="U167" s="23">
        <f t="shared" si="30"/>
        <v>79.491900000000001</v>
      </c>
      <c r="V167" s="220">
        <f t="shared" si="32"/>
        <v>67.94935457642454</v>
      </c>
      <c r="W167" s="220">
        <f t="shared" si="32"/>
        <v>52.600587998709813</v>
      </c>
      <c r="X167" s="220">
        <f t="shared" si="32"/>
        <v>44.337210411587577</v>
      </c>
      <c r="Y167" s="220">
        <f t="shared" si="32"/>
        <v>38.746496814090321</v>
      </c>
      <c r="Z167" s="220">
        <f t="shared" si="32"/>
        <v>34.556215677490641</v>
      </c>
      <c r="AA167" s="220">
        <f t="shared" si="32"/>
        <v>31.223044594599983</v>
      </c>
      <c r="AB167" s="220">
        <f t="shared" si="32"/>
        <v>28.466116570768733</v>
      </c>
      <c r="AC167" s="220">
        <f t="shared" si="32"/>
        <v>26.12193972662638</v>
      </c>
      <c r="AD167" s="220">
        <f t="shared" si="32"/>
        <v>24.087247289109982</v>
      </c>
      <c r="AE167" s="220">
        <f t="shared" si="32"/>
        <v>22.292787401309141</v>
      </c>
    </row>
    <row r="168" spans="5:31" x14ac:dyDescent="0.25">
      <c r="E168" s="225">
        <v>1.6299999999999999E-2</v>
      </c>
      <c r="F168" s="222">
        <f t="shared" si="26"/>
        <v>16.299999999999997</v>
      </c>
      <c r="G168" s="23">
        <f t="shared" si="23"/>
        <v>-60.758149999999993</v>
      </c>
      <c r="H168" s="23">
        <f t="shared" si="30"/>
        <v>-50.758149999999993</v>
      </c>
      <c r="I168" s="23">
        <f t="shared" si="30"/>
        <v>-40.758149999999993</v>
      </c>
      <c r="J168" s="23">
        <f t="shared" si="30"/>
        <v>-30.758149999999993</v>
      </c>
      <c r="K168" s="23">
        <f t="shared" si="30"/>
        <v>-20.758149999999993</v>
      </c>
      <c r="L168" s="23">
        <f t="shared" si="30"/>
        <v>-10.758149999999993</v>
      </c>
      <c r="M168" s="23">
        <f t="shared" si="30"/>
        <v>-0.75814999999999344</v>
      </c>
      <c r="N168" s="23">
        <f t="shared" si="30"/>
        <v>9.2418500000000066</v>
      </c>
      <c r="O168" s="23">
        <f t="shared" si="30"/>
        <v>19.241850000000007</v>
      </c>
      <c r="P168" s="23">
        <f t="shared" si="30"/>
        <v>29.241850000000007</v>
      </c>
      <c r="Q168" s="23">
        <f t="shared" si="30"/>
        <v>39.241850000000007</v>
      </c>
      <c r="R168" s="23">
        <f t="shared" si="30"/>
        <v>49.241850000000007</v>
      </c>
      <c r="S168" s="23">
        <f t="shared" si="30"/>
        <v>59.241850000000007</v>
      </c>
      <c r="T168" s="23">
        <f t="shared" si="30"/>
        <v>69.241849999999999</v>
      </c>
      <c r="U168" s="23">
        <f t="shared" si="30"/>
        <v>79.241849999999999</v>
      </c>
      <c r="V168" s="220">
        <f t="shared" si="32"/>
        <v>68.101294112627045</v>
      </c>
      <c r="W168" s="220">
        <f t="shared" si="32"/>
        <v>52.735921855661623</v>
      </c>
      <c r="X168" s="220">
        <f t="shared" si="32"/>
        <v>44.464171150670303</v>
      </c>
      <c r="Y168" s="220">
        <f t="shared" si="32"/>
        <v>38.867902125455863</v>
      </c>
      <c r="Z168" s="220">
        <f t="shared" si="32"/>
        <v>34.673515112585143</v>
      </c>
      <c r="AA168" s="220">
        <f t="shared" si="32"/>
        <v>31.337113459844353</v>
      </c>
      <c r="AB168" s="220">
        <f t="shared" si="32"/>
        <v>28.577537113609473</v>
      </c>
      <c r="AC168" s="220">
        <f t="shared" si="32"/>
        <v>26.231125347566326</v>
      </c>
      <c r="AD168" s="220">
        <f t="shared" si="32"/>
        <v>24.194505647045908</v>
      </c>
      <c r="AE168" s="220">
        <f t="shared" si="32"/>
        <v>22.398355760947652</v>
      </c>
    </row>
    <row r="169" spans="5:31" x14ac:dyDescent="0.25">
      <c r="E169" s="225">
        <v>1.6400000000000001E-2</v>
      </c>
      <c r="F169" s="222">
        <f t="shared" si="26"/>
        <v>16.400000000000002</v>
      </c>
      <c r="G169" s="23">
        <f t="shared" si="23"/>
        <v>-61.008200000000002</v>
      </c>
      <c r="H169" s="23">
        <f t="shared" si="30"/>
        <v>-51.008200000000002</v>
      </c>
      <c r="I169" s="23">
        <f t="shared" si="30"/>
        <v>-41.008200000000002</v>
      </c>
      <c r="J169" s="23">
        <f t="shared" si="30"/>
        <v>-31.008200000000002</v>
      </c>
      <c r="K169" s="23">
        <f t="shared" si="30"/>
        <v>-21.008200000000002</v>
      </c>
      <c r="L169" s="23">
        <f t="shared" si="30"/>
        <v>-11.008200000000002</v>
      </c>
      <c r="M169" s="23">
        <f t="shared" si="30"/>
        <v>-1.0082000000000022</v>
      </c>
      <c r="N169" s="23">
        <f t="shared" si="30"/>
        <v>8.9917999999999978</v>
      </c>
      <c r="O169" s="23">
        <f t="shared" si="30"/>
        <v>18.991799999999998</v>
      </c>
      <c r="P169" s="23">
        <f t="shared" si="30"/>
        <v>28.991799999999998</v>
      </c>
      <c r="Q169" s="23">
        <f t="shared" si="30"/>
        <v>38.991799999999998</v>
      </c>
      <c r="R169" s="23">
        <f t="shared" si="30"/>
        <v>48.991799999999998</v>
      </c>
      <c r="S169" s="23">
        <f t="shared" si="30"/>
        <v>58.991799999999998</v>
      </c>
      <c r="T169" s="23">
        <f t="shared" si="30"/>
        <v>68.991799999999998</v>
      </c>
      <c r="U169" s="23">
        <f t="shared" si="30"/>
        <v>78.991799999999998</v>
      </c>
      <c r="V169" s="220">
        <f t="shared" si="32"/>
        <v>68.252534576831536</v>
      </c>
      <c r="W169" s="220">
        <f t="shared" si="32"/>
        <v>52.870617467799164</v>
      </c>
      <c r="X169" s="220">
        <f t="shared" si="32"/>
        <v>44.590525762521381</v>
      </c>
      <c r="Y169" s="220">
        <f t="shared" si="32"/>
        <v>38.988722659795457</v>
      </c>
      <c r="Z169" s="220">
        <f t="shared" si="32"/>
        <v>34.790245569084405</v>
      </c>
      <c r="AA169" s="220">
        <f t="shared" si="32"/>
        <v>31.450625787459401</v>
      </c>
      <c r="AB169" s="220">
        <f t="shared" si="32"/>
        <v>28.688411323970499</v>
      </c>
      <c r="AC169" s="220">
        <f t="shared" si="32"/>
        <v>26.339773252380056</v>
      </c>
      <c r="AD169" s="220">
        <f t="shared" si="32"/>
        <v>24.301233721997804</v>
      </c>
      <c r="AE169" s="220">
        <f t="shared" si="32"/>
        <v>22.503400357746486</v>
      </c>
    </row>
    <row r="170" spans="5:31" x14ac:dyDescent="0.25">
      <c r="E170" s="225">
        <v>1.6500000000000001E-2</v>
      </c>
      <c r="F170" s="222">
        <f t="shared" si="26"/>
        <v>16.5</v>
      </c>
      <c r="G170" s="23">
        <f t="shared" si="23"/>
        <v>-61.258250000000004</v>
      </c>
      <c r="H170" s="23">
        <f t="shared" si="30"/>
        <v>-51.258250000000004</v>
      </c>
      <c r="I170" s="23">
        <f t="shared" si="30"/>
        <v>-41.258250000000004</v>
      </c>
      <c r="J170" s="23">
        <f t="shared" si="30"/>
        <v>-31.258250000000004</v>
      </c>
      <c r="K170" s="23">
        <f t="shared" si="30"/>
        <v>-21.258250000000004</v>
      </c>
      <c r="L170" s="23">
        <f t="shared" si="30"/>
        <v>-11.258250000000004</v>
      </c>
      <c r="M170" s="23">
        <f t="shared" si="30"/>
        <v>-1.2582500000000039</v>
      </c>
      <c r="N170" s="23">
        <f t="shared" si="30"/>
        <v>8.7417499999999961</v>
      </c>
      <c r="O170" s="23">
        <f t="shared" si="30"/>
        <v>18.741749999999996</v>
      </c>
      <c r="P170" s="23">
        <f t="shared" si="30"/>
        <v>28.741749999999996</v>
      </c>
      <c r="Q170" s="23">
        <f t="shared" si="30"/>
        <v>38.741749999999996</v>
      </c>
      <c r="R170" s="23">
        <f t="shared" si="30"/>
        <v>48.741749999999996</v>
      </c>
      <c r="S170" s="23">
        <f t="shared" si="30"/>
        <v>58.741749999999996</v>
      </c>
      <c r="T170" s="23">
        <f t="shared" si="30"/>
        <v>68.741749999999996</v>
      </c>
      <c r="U170" s="23">
        <f t="shared" si="30"/>
        <v>78.741749999999996</v>
      </c>
      <c r="V170" s="220">
        <f t="shared" si="32"/>
        <v>68.40308402196861</v>
      </c>
      <c r="W170" s="220">
        <f t="shared" si="32"/>
        <v>53.004682230082281</v>
      </c>
      <c r="X170" s="220">
        <f t="shared" si="32"/>
        <v>44.716281281281056</v>
      </c>
      <c r="Y170" s="220">
        <f t="shared" si="32"/>
        <v>39.108965210907144</v>
      </c>
      <c r="Z170" s="220">
        <f t="shared" si="32"/>
        <v>34.906413662685068</v>
      </c>
      <c r="AA170" s="220">
        <f t="shared" si="32"/>
        <v>31.563588052734389</v>
      </c>
      <c r="AB170" s="220">
        <f t="shared" si="32"/>
        <v>28.798745561862987</v>
      </c>
      <c r="AC170" s="220">
        <f t="shared" si="32"/>
        <v>26.447889703674051</v>
      </c>
      <c r="AD170" s="220">
        <f t="shared" si="32"/>
        <v>24.407437692488358</v>
      </c>
      <c r="AE170" s="220">
        <f t="shared" si="32"/>
        <v>22.607927296430333</v>
      </c>
    </row>
    <row r="171" spans="5:31" x14ac:dyDescent="0.25">
      <c r="E171" s="225">
        <v>1.66E-2</v>
      </c>
      <c r="F171" s="222">
        <f t="shared" si="26"/>
        <v>16.600000000000001</v>
      </c>
      <c r="G171" s="23">
        <f t="shared" si="23"/>
        <v>-61.508299999999998</v>
      </c>
      <c r="H171" s="23">
        <f t="shared" si="30"/>
        <v>-51.508299999999998</v>
      </c>
      <c r="I171" s="23">
        <f t="shared" si="30"/>
        <v>-41.508299999999998</v>
      </c>
      <c r="J171" s="23">
        <f t="shared" si="30"/>
        <v>-31.508299999999998</v>
      </c>
      <c r="K171" s="23">
        <f t="shared" si="30"/>
        <v>-21.508299999999998</v>
      </c>
      <c r="L171" s="23">
        <f t="shared" si="30"/>
        <v>-11.508299999999998</v>
      </c>
      <c r="M171" s="23">
        <f t="shared" si="30"/>
        <v>-1.5082999999999984</v>
      </c>
      <c r="N171" s="23">
        <f t="shared" si="30"/>
        <v>8.4917000000000016</v>
      </c>
      <c r="O171" s="23">
        <f t="shared" si="30"/>
        <v>18.491700000000002</v>
      </c>
      <c r="P171" s="23">
        <f t="shared" si="30"/>
        <v>28.491700000000002</v>
      </c>
      <c r="Q171" s="23">
        <f t="shared" si="30"/>
        <v>38.491700000000002</v>
      </c>
      <c r="R171" s="23">
        <f t="shared" si="30"/>
        <v>48.491700000000002</v>
      </c>
      <c r="S171" s="23">
        <f t="shared" si="30"/>
        <v>58.491700000000002</v>
      </c>
      <c r="T171" s="23">
        <f t="shared" si="30"/>
        <v>68.491700000000009</v>
      </c>
      <c r="U171" s="23">
        <f t="shared" si="30"/>
        <v>78.491700000000009</v>
      </c>
      <c r="V171" s="220">
        <f t="shared" si="32"/>
        <v>68.552950360651522</v>
      </c>
      <c r="W171" s="220">
        <f t="shared" si="32"/>
        <v>53.138123408212401</v>
      </c>
      <c r="X171" s="220">
        <f t="shared" si="32"/>
        <v>44.841444618012169</v>
      </c>
      <c r="Y171" s="220">
        <f t="shared" si="32"/>
        <v>39.228636453633818</v>
      </c>
      <c r="Z171" s="220">
        <f t="shared" si="32"/>
        <v>35.022025893186417</v>
      </c>
      <c r="AA171" s="220">
        <f t="shared" si="32"/>
        <v>31.676006617473469</v>
      </c>
      <c r="AB171" s="220">
        <f t="shared" si="32"/>
        <v>28.908546075794469</v>
      </c>
      <c r="AC171" s="220">
        <f t="shared" si="32"/>
        <v>26.55548085422631</v>
      </c>
      <c r="AD171" s="220">
        <f t="shared" si="32"/>
        <v>24.513123628658583</v>
      </c>
      <c r="AE171" s="220">
        <f t="shared" si="32"/>
        <v>22.711942574612387</v>
      </c>
    </row>
    <row r="172" spans="5:31" x14ac:dyDescent="0.25">
      <c r="E172" s="225">
        <v>1.67E-2</v>
      </c>
      <c r="F172" s="222">
        <f t="shared" si="26"/>
        <v>16.7</v>
      </c>
      <c r="G172" s="23">
        <f t="shared" si="23"/>
        <v>-61.75835</v>
      </c>
      <c r="H172" s="23">
        <f t="shared" si="30"/>
        <v>-51.75835</v>
      </c>
      <c r="I172" s="23">
        <f t="shared" si="30"/>
        <v>-41.75835</v>
      </c>
      <c r="J172" s="23">
        <f t="shared" si="30"/>
        <v>-31.75835</v>
      </c>
      <c r="K172" s="23">
        <f t="shared" si="30"/>
        <v>-21.75835</v>
      </c>
      <c r="L172" s="23">
        <f t="shared" si="30"/>
        <v>-11.75835</v>
      </c>
      <c r="M172" s="23">
        <f t="shared" si="30"/>
        <v>-1.7583500000000001</v>
      </c>
      <c r="N172" s="23">
        <f t="shared" si="30"/>
        <v>8.2416499999999999</v>
      </c>
      <c r="O172" s="23">
        <f t="shared" si="30"/>
        <v>18.24165</v>
      </c>
      <c r="P172" s="23">
        <f t="shared" si="30"/>
        <v>28.24165</v>
      </c>
      <c r="Q172" s="23">
        <f t="shared" si="30"/>
        <v>38.24165</v>
      </c>
      <c r="R172" s="23">
        <f t="shared" si="30"/>
        <v>48.24165</v>
      </c>
      <c r="S172" s="23">
        <f t="shared" si="30"/>
        <v>58.24165</v>
      </c>
      <c r="T172" s="23">
        <f t="shared" si="30"/>
        <v>68.241649999999993</v>
      </c>
      <c r="U172" s="23">
        <f t="shared" si="30"/>
        <v>78.241649999999993</v>
      </c>
      <c r="V172" s="220">
        <f t="shared" si="32"/>
        <v>68.70214136844811</v>
      </c>
      <c r="W172" s="220">
        <f t="shared" si="32"/>
        <v>53.270948141652362</v>
      </c>
      <c r="X172" s="220">
        <f t="shared" si="32"/>
        <v>44.96602256357756</v>
      </c>
      <c r="Y172" s="220">
        <f t="shared" si="32"/>
        <v>39.347742946645958</v>
      </c>
      <c r="Z172" s="220">
        <f t="shared" si="32"/>
        <v>35.137088647202326</v>
      </c>
      <c r="AA172" s="220">
        <f t="shared" si="32"/>
        <v>31.787887732651889</v>
      </c>
      <c r="AB172" s="220">
        <f t="shared" si="32"/>
        <v>29.017819005379614</v>
      </c>
      <c r="AC172" s="220">
        <f t="shared" si="32"/>
        <v>26.662552749558408</v>
      </c>
      <c r="AD172" s="220">
        <f t="shared" si="32"/>
        <v>24.618297494806264</v>
      </c>
      <c r="AE172" s="220">
        <f t="shared" si="32"/>
        <v>22.81545208530337</v>
      </c>
    </row>
    <row r="173" spans="5:31" x14ac:dyDescent="0.25">
      <c r="E173" s="225">
        <v>1.6799999999999999E-2</v>
      </c>
      <c r="F173" s="222">
        <f t="shared" si="26"/>
        <v>16.8</v>
      </c>
      <c r="G173" s="23">
        <f t="shared" si="23"/>
        <v>-62.008399999999995</v>
      </c>
      <c r="H173" s="23">
        <f t="shared" si="30"/>
        <v>-52.008399999999995</v>
      </c>
      <c r="I173" s="23">
        <f t="shared" si="30"/>
        <v>-42.008399999999995</v>
      </c>
      <c r="J173" s="23">
        <f t="shared" si="30"/>
        <v>-32.008399999999995</v>
      </c>
      <c r="K173" s="23">
        <f t="shared" si="30"/>
        <v>-22.008399999999995</v>
      </c>
      <c r="L173" s="23">
        <f t="shared" si="30"/>
        <v>-12.008399999999995</v>
      </c>
      <c r="M173" s="23">
        <f t="shared" si="30"/>
        <v>-2.0083999999999946</v>
      </c>
      <c r="N173" s="23">
        <f t="shared" si="30"/>
        <v>7.9916000000000054</v>
      </c>
      <c r="O173" s="23">
        <f t="shared" si="30"/>
        <v>17.991600000000005</v>
      </c>
      <c r="P173" s="23">
        <f t="shared" si="30"/>
        <v>27.991600000000005</v>
      </c>
      <c r="Q173" s="23">
        <f t="shared" ref="H173:U191" si="33">Q$4-$E173*R0()</f>
        <v>37.991600000000005</v>
      </c>
      <c r="R173" s="23">
        <f t="shared" si="33"/>
        <v>47.991600000000005</v>
      </c>
      <c r="S173" s="23">
        <f t="shared" si="33"/>
        <v>57.991600000000005</v>
      </c>
      <c r="T173" s="23">
        <f t="shared" si="33"/>
        <v>67.991600000000005</v>
      </c>
      <c r="U173" s="23">
        <f t="shared" si="33"/>
        <v>77.991600000000005</v>
      </c>
      <c r="V173" s="220">
        <f t="shared" si="32"/>
        <v>68.850664687057787</v>
      </c>
      <c r="W173" s="220">
        <f t="shared" si="32"/>
        <v>53.403163446558182</v>
      </c>
      <c r="X173" s="220">
        <f t="shared" si="32"/>
        <v>45.090021791433713</v>
      </c>
      <c r="Y173" s="220">
        <f t="shared" si="32"/>
        <v>39.466291135142797</v>
      </c>
      <c r="Z173" s="220">
        <f t="shared" si="32"/>
        <v>35.251608200794138</v>
      </c>
      <c r="AA173" s="220">
        <f t="shared" si="32"/>
        <v>31.899237540994847</v>
      </c>
      <c r="AB173" s="220">
        <f t="shared" si="32"/>
        <v>29.126570383874451</v>
      </c>
      <c r="AC173" s="220">
        <f t="shared" si="32"/>
        <v>26.769111330432295</v>
      </c>
      <c r="AD173" s="220">
        <f t="shared" si="32"/>
        <v>24.722965151850403</v>
      </c>
      <c r="AE173" s="220">
        <f t="shared" si="32"/>
        <v>22.918461619347767</v>
      </c>
    </row>
    <row r="174" spans="5:31" x14ac:dyDescent="0.25">
      <c r="E174" s="225">
        <v>1.6899999999999998E-2</v>
      </c>
      <c r="F174" s="222">
        <f t="shared" si="26"/>
        <v>16.899999999999999</v>
      </c>
      <c r="G174" s="23">
        <f t="shared" si="23"/>
        <v>-62.258449999999996</v>
      </c>
      <c r="H174" s="23">
        <f t="shared" si="33"/>
        <v>-52.258449999999996</v>
      </c>
      <c r="I174" s="23">
        <f t="shared" si="33"/>
        <v>-42.258449999999996</v>
      </c>
      <c r="J174" s="23">
        <f t="shared" si="33"/>
        <v>-32.258449999999996</v>
      </c>
      <c r="K174" s="23">
        <f t="shared" si="33"/>
        <v>-22.258449999999996</v>
      </c>
      <c r="L174" s="23">
        <f t="shared" si="33"/>
        <v>-12.258449999999996</v>
      </c>
      <c r="M174" s="23">
        <f t="shared" si="33"/>
        <v>-2.2584499999999963</v>
      </c>
      <c r="N174" s="23">
        <f t="shared" si="33"/>
        <v>7.7415500000000037</v>
      </c>
      <c r="O174" s="23">
        <f t="shared" si="33"/>
        <v>17.741550000000004</v>
      </c>
      <c r="P174" s="23">
        <f t="shared" si="33"/>
        <v>27.741550000000004</v>
      </c>
      <c r="Q174" s="23">
        <f t="shared" si="33"/>
        <v>37.741550000000004</v>
      </c>
      <c r="R174" s="23">
        <f t="shared" si="33"/>
        <v>47.741550000000004</v>
      </c>
      <c r="S174" s="23">
        <f t="shared" si="33"/>
        <v>57.741550000000004</v>
      </c>
      <c r="T174" s="23">
        <f t="shared" si="33"/>
        <v>67.741550000000004</v>
      </c>
      <c r="U174" s="23">
        <f t="shared" si="33"/>
        <v>77.741550000000004</v>
      </c>
      <c r="V174" s="220">
        <f t="shared" si="32"/>
        <v>68.99852782739606</v>
      </c>
      <c r="W174" s="220">
        <f t="shared" si="32"/>
        <v>53.53477621862551</v>
      </c>
      <c r="X174" s="220">
        <f t="shared" si="32"/>
        <v>45.213448860343021</v>
      </c>
      <c r="Y174" s="220">
        <f t="shared" si="32"/>
        <v>39.584287353474977</v>
      </c>
      <c r="Z174" s="220">
        <f t="shared" si="32"/>
        <v>35.365590722026766</v>
      </c>
      <c r="AA174" s="220">
        <f t="shared" si="32"/>
        <v>32.01006207948123</v>
      </c>
      <c r="AB174" s="220">
        <f t="shared" si="32"/>
        <v>29.234806140636977</v>
      </c>
      <c r="AC174" s="220">
        <f t="shared" si="32"/>
        <v>26.875162435274348</v>
      </c>
      <c r="AD174" s="220">
        <f t="shared" si="32"/>
        <v>24.827132359723777</v>
      </c>
      <c r="AE174" s="220">
        <f t="shared" si="32"/>
        <v>23.020976867788335</v>
      </c>
    </row>
    <row r="175" spans="5:31" x14ac:dyDescent="0.25">
      <c r="E175" s="225">
        <v>1.7000000000000001E-2</v>
      </c>
      <c r="F175" s="222">
        <f t="shared" si="26"/>
        <v>17</v>
      </c>
      <c r="G175" s="23">
        <f t="shared" si="23"/>
        <v>-62.508500000000005</v>
      </c>
      <c r="H175" s="23">
        <f t="shared" si="33"/>
        <v>-52.508500000000005</v>
      </c>
      <c r="I175" s="23">
        <f t="shared" si="33"/>
        <v>-42.508500000000005</v>
      </c>
      <c r="J175" s="23">
        <f t="shared" si="33"/>
        <v>-32.508500000000005</v>
      </c>
      <c r="K175" s="23">
        <f t="shared" si="33"/>
        <v>-22.508500000000005</v>
      </c>
      <c r="L175" s="23">
        <f t="shared" si="33"/>
        <v>-12.508500000000005</v>
      </c>
      <c r="M175" s="23">
        <f t="shared" si="33"/>
        <v>-2.5085000000000051</v>
      </c>
      <c r="N175" s="23">
        <f t="shared" si="33"/>
        <v>7.4914999999999949</v>
      </c>
      <c r="O175" s="23">
        <f t="shared" si="33"/>
        <v>17.491499999999995</v>
      </c>
      <c r="P175" s="23">
        <f t="shared" si="33"/>
        <v>27.491499999999995</v>
      </c>
      <c r="Q175" s="23">
        <f t="shared" si="33"/>
        <v>37.491499999999995</v>
      </c>
      <c r="R175" s="23">
        <f t="shared" si="33"/>
        <v>47.491499999999995</v>
      </c>
      <c r="S175" s="23">
        <f t="shared" si="33"/>
        <v>57.491499999999995</v>
      </c>
      <c r="T175" s="23">
        <f t="shared" si="33"/>
        <v>67.491500000000002</v>
      </c>
      <c r="U175" s="23">
        <f t="shared" si="33"/>
        <v>77.491500000000002</v>
      </c>
      <c r="V175" s="220">
        <f t="shared" si="32"/>
        <v>69.145738172590541</v>
      </c>
      <c r="W175" s="220">
        <f t="shared" si="32"/>
        <v>53.665793235854302</v>
      </c>
      <c r="X175" s="220">
        <f t="shared" si="32"/>
        <v>45.336310217007927</v>
      </c>
      <c r="Y175" s="220">
        <f t="shared" si="32"/>
        <v>39.701737827691822</v>
      </c>
      <c r="Z175" s="220">
        <f t="shared" si="32"/>
        <v>35.479042273451334</v>
      </c>
      <c r="AA175" s="220">
        <f t="shared" si="32"/>
        <v>32.120367281775124</v>
      </c>
      <c r="AB175" s="220">
        <f t="shared" si="32"/>
        <v>29.342532103516895</v>
      </c>
      <c r="AC175" s="220">
        <f t="shared" si="32"/>
        <v>26.980711802529633</v>
      </c>
      <c r="AD175" s="220">
        <f t="shared" si="32"/>
        <v>24.930804779696537</v>
      </c>
      <c r="AE175" s="220">
        <f t="shared" si="32"/>
        <v>23.123003424163066</v>
      </c>
    </row>
    <row r="176" spans="5:31" x14ac:dyDescent="0.25">
      <c r="E176" s="225">
        <v>1.7100000000000001E-2</v>
      </c>
      <c r="F176" s="222">
        <f t="shared" si="26"/>
        <v>17.100000000000001</v>
      </c>
      <c r="G176" s="23">
        <f t="shared" si="23"/>
        <v>-62.75855</v>
      </c>
      <c r="H176" s="23">
        <f t="shared" si="33"/>
        <v>-52.75855</v>
      </c>
      <c r="I176" s="23">
        <f t="shared" si="33"/>
        <v>-42.75855</v>
      </c>
      <c r="J176" s="23">
        <f t="shared" si="33"/>
        <v>-32.75855</v>
      </c>
      <c r="K176" s="23">
        <f t="shared" si="33"/>
        <v>-22.75855</v>
      </c>
      <c r="L176" s="23">
        <f t="shared" si="33"/>
        <v>-12.75855</v>
      </c>
      <c r="M176" s="23">
        <f t="shared" si="33"/>
        <v>-2.7585499999999996</v>
      </c>
      <c r="N176" s="23">
        <f t="shared" si="33"/>
        <v>7.2414500000000004</v>
      </c>
      <c r="O176" s="23">
        <f t="shared" si="33"/>
        <v>17.24145</v>
      </c>
      <c r="P176" s="23">
        <f t="shared" si="33"/>
        <v>27.24145</v>
      </c>
      <c r="Q176" s="23">
        <f t="shared" si="33"/>
        <v>37.24145</v>
      </c>
      <c r="R176" s="23">
        <f t="shared" si="33"/>
        <v>47.24145</v>
      </c>
      <c r="S176" s="23">
        <f t="shared" si="33"/>
        <v>57.24145</v>
      </c>
      <c r="T176" s="23">
        <f t="shared" si="33"/>
        <v>67.24145</v>
      </c>
      <c r="U176" s="23">
        <f t="shared" si="33"/>
        <v>77.24145</v>
      </c>
      <c r="V176" s="220">
        <f t="shared" ref="V176:AE185" si="34">Enthalpie_p_phi_x(hx_druck,V$4,$E176)-$E176*R0()</f>
        <v>69.292302980890796</v>
      </c>
      <c r="W176" s="220">
        <f t="shared" si="34"/>
        <v>53.796221161233873</v>
      </c>
      <c r="X176" s="220">
        <f t="shared" si="34"/>
        <v>45.45861219862941</v>
      </c>
      <c r="Y176" s="220">
        <f t="shared" si="34"/>
        <v>39.818648678015123</v>
      </c>
      <c r="Z176" s="220">
        <f t="shared" si="34"/>
        <v>35.59196881451625</v>
      </c>
      <c r="AA176" s="220">
        <f t="shared" si="34"/>
        <v>32.230158980587376</v>
      </c>
      <c r="AB176" s="220">
        <f t="shared" si="34"/>
        <v>29.449754001176359</v>
      </c>
      <c r="AC176" s="220">
        <f t="shared" si="34"/>
        <v>27.085765072948377</v>
      </c>
      <c r="AD176" s="220">
        <f t="shared" si="34"/>
        <v>25.033987976632943</v>
      </c>
      <c r="AE176" s="220">
        <f t="shared" si="34"/>
        <v>23.224546786735559</v>
      </c>
    </row>
    <row r="177" spans="5:31" x14ac:dyDescent="0.25">
      <c r="E177" s="225">
        <v>1.72E-2</v>
      </c>
      <c r="F177" s="222">
        <f t="shared" si="26"/>
        <v>17.2</v>
      </c>
      <c r="G177" s="23">
        <f t="shared" si="23"/>
        <v>-63.008600000000001</v>
      </c>
      <c r="H177" s="23">
        <f t="shared" si="33"/>
        <v>-53.008600000000001</v>
      </c>
      <c r="I177" s="23">
        <f t="shared" si="33"/>
        <v>-43.008600000000001</v>
      </c>
      <c r="J177" s="23">
        <f t="shared" si="33"/>
        <v>-33.008600000000001</v>
      </c>
      <c r="K177" s="23">
        <f t="shared" si="33"/>
        <v>-23.008600000000001</v>
      </c>
      <c r="L177" s="23">
        <f t="shared" si="33"/>
        <v>-13.008600000000001</v>
      </c>
      <c r="M177" s="23">
        <f t="shared" si="33"/>
        <v>-3.0086000000000013</v>
      </c>
      <c r="N177" s="23">
        <f t="shared" si="33"/>
        <v>6.9913999999999987</v>
      </c>
      <c r="O177" s="23">
        <f t="shared" si="33"/>
        <v>16.991399999999999</v>
      </c>
      <c r="P177" s="23">
        <f t="shared" si="33"/>
        <v>26.991399999999999</v>
      </c>
      <c r="Q177" s="23">
        <f t="shared" si="33"/>
        <v>36.991399999999999</v>
      </c>
      <c r="R177" s="23">
        <f t="shared" si="33"/>
        <v>46.991399999999999</v>
      </c>
      <c r="S177" s="23">
        <f t="shared" si="33"/>
        <v>56.991399999999999</v>
      </c>
      <c r="T177" s="23">
        <f t="shared" si="33"/>
        <v>66.991399999999999</v>
      </c>
      <c r="U177" s="23">
        <f t="shared" si="33"/>
        <v>76.991399999999999</v>
      </c>
      <c r="V177" s="220">
        <f t="shared" si="34"/>
        <v>69.438229388495614</v>
      </c>
      <c r="W177" s="220">
        <f t="shared" si="34"/>
        <v>53.926066545351702</v>
      </c>
      <c r="X177" s="220">
        <f t="shared" si="34"/>
        <v>45.580361035392571</v>
      </c>
      <c r="Y177" s="220">
        <f t="shared" si="34"/>
        <v>39.93502592124257</v>
      </c>
      <c r="Z177" s="220">
        <f t="shared" si="34"/>
        <v>35.70437620390959</v>
      </c>
      <c r="AA177" s="220">
        <f t="shared" si="34"/>
        <v>32.33944290996989</v>
      </c>
      <c r="AB177" s="220">
        <f t="shared" si="34"/>
        <v>29.556477465344727</v>
      </c>
      <c r="AC177" s="220">
        <f t="shared" si="34"/>
        <v>27.190327791807064</v>
      </c>
      <c r="AD177" s="220">
        <f t="shared" si="34"/>
        <v>25.136687421183623</v>
      </c>
      <c r="AE177" s="220">
        <f t="shared" si="34"/>
        <v>23.325612360662319</v>
      </c>
    </row>
    <row r="178" spans="5:31" x14ac:dyDescent="0.25">
      <c r="E178" s="225">
        <v>1.7299999999999999E-2</v>
      </c>
      <c r="F178" s="222">
        <f t="shared" si="26"/>
        <v>17.3</v>
      </c>
      <c r="G178" s="23">
        <f t="shared" si="23"/>
        <v>-63.258649999999996</v>
      </c>
      <c r="H178" s="23">
        <f t="shared" si="33"/>
        <v>-53.258649999999996</v>
      </c>
      <c r="I178" s="23">
        <f t="shared" si="33"/>
        <v>-43.258649999999996</v>
      </c>
      <c r="J178" s="23">
        <f t="shared" si="33"/>
        <v>-33.258649999999996</v>
      </c>
      <c r="K178" s="23">
        <f t="shared" si="33"/>
        <v>-23.258649999999996</v>
      </c>
      <c r="L178" s="23">
        <f t="shared" si="33"/>
        <v>-13.258649999999996</v>
      </c>
      <c r="M178" s="23">
        <f t="shared" si="33"/>
        <v>-3.2586499999999958</v>
      </c>
      <c r="N178" s="23">
        <f t="shared" si="33"/>
        <v>6.7413500000000042</v>
      </c>
      <c r="O178" s="23">
        <f t="shared" si="33"/>
        <v>16.741350000000004</v>
      </c>
      <c r="P178" s="23">
        <f t="shared" si="33"/>
        <v>26.741350000000004</v>
      </c>
      <c r="Q178" s="23">
        <f t="shared" si="33"/>
        <v>36.741350000000004</v>
      </c>
      <c r="R178" s="23">
        <f t="shared" si="33"/>
        <v>46.741350000000004</v>
      </c>
      <c r="S178" s="23">
        <f t="shared" si="33"/>
        <v>56.741350000000004</v>
      </c>
      <c r="T178" s="23">
        <f t="shared" si="33"/>
        <v>66.741350000000011</v>
      </c>
      <c r="U178" s="23">
        <f t="shared" si="33"/>
        <v>76.741350000000011</v>
      </c>
      <c r="V178" s="220">
        <f t="shared" si="34"/>
        <v>69.583524412300108</v>
      </c>
      <c r="W178" s="220">
        <f t="shared" si="34"/>
        <v>54.055335828928115</v>
      </c>
      <c r="X178" s="220">
        <f t="shared" si="34"/>
        <v>45.701562852881715</v>
      </c>
      <c r="Y178" s="220">
        <f t="shared" si="34"/>
        <v>40.050875473082833</v>
      </c>
      <c r="Z178" s="220">
        <f t="shared" si="34"/>
        <v>35.816270201835003</v>
      </c>
      <c r="AA178" s="220">
        <f t="shared" si="34"/>
        <v>32.448224707544689</v>
      </c>
      <c r="AB178" s="220">
        <f t="shared" si="34"/>
        <v>29.662708033009189</v>
      </c>
      <c r="AC178" s="220">
        <f t="shared" si="34"/>
        <v>27.294405411066712</v>
      </c>
      <c r="AD178" s="220">
        <f t="shared" si="34"/>
        <v>25.238908491915687</v>
      </c>
      <c r="AE178" s="220">
        <f t="shared" si="34"/>
        <v>23.426205460097869</v>
      </c>
    </row>
    <row r="179" spans="5:31" x14ac:dyDescent="0.25">
      <c r="E179" s="225">
        <v>1.7399999999999999E-2</v>
      </c>
      <c r="F179" s="222">
        <f t="shared" si="26"/>
        <v>17.399999999999999</v>
      </c>
      <c r="G179" s="23">
        <f t="shared" si="23"/>
        <v>-63.508699999999997</v>
      </c>
      <c r="H179" s="23">
        <f t="shared" si="33"/>
        <v>-53.508699999999997</v>
      </c>
      <c r="I179" s="23">
        <f t="shared" si="33"/>
        <v>-43.508699999999997</v>
      </c>
      <c r="J179" s="23">
        <f t="shared" si="33"/>
        <v>-33.508699999999997</v>
      </c>
      <c r="K179" s="23">
        <f t="shared" si="33"/>
        <v>-23.508699999999997</v>
      </c>
      <c r="L179" s="23">
        <f t="shared" si="33"/>
        <v>-13.508699999999997</v>
      </c>
      <c r="M179" s="23">
        <f t="shared" si="33"/>
        <v>-3.5086999999999975</v>
      </c>
      <c r="N179" s="23">
        <f t="shared" si="33"/>
        <v>6.4913000000000025</v>
      </c>
      <c r="O179" s="23">
        <f t="shared" si="33"/>
        <v>16.491300000000003</v>
      </c>
      <c r="P179" s="23">
        <f t="shared" si="33"/>
        <v>26.491300000000003</v>
      </c>
      <c r="Q179" s="23">
        <f t="shared" si="33"/>
        <v>36.491300000000003</v>
      </c>
      <c r="R179" s="23">
        <f t="shared" si="33"/>
        <v>46.491300000000003</v>
      </c>
      <c r="S179" s="23">
        <f t="shared" si="33"/>
        <v>56.491300000000003</v>
      </c>
      <c r="T179" s="23">
        <f t="shared" si="33"/>
        <v>66.491299999999995</v>
      </c>
      <c r="U179" s="23">
        <f t="shared" si="33"/>
        <v>76.491299999999995</v>
      </c>
      <c r="V179" s="220">
        <f t="shared" si="34"/>
        <v>69.728194952565389</v>
      </c>
      <c r="W179" s="220">
        <f t="shared" si="34"/>
        <v>54.184035345279518</v>
      </c>
      <c r="X179" s="220">
        <f t="shared" si="34"/>
        <v>45.8222236744272</v>
      </c>
      <c r="Y179" s="220">
        <f t="shared" si="34"/>
        <v>40.166203150424998</v>
      </c>
      <c r="Z179" s="220">
        <f t="shared" si="34"/>
        <v>35.927656472223312</v>
      </c>
      <c r="AA179" s="220">
        <f t="shared" si="34"/>
        <v>32.556509916670059</v>
      </c>
      <c r="AB179" s="220">
        <f t="shared" si="34"/>
        <v>29.768451148543527</v>
      </c>
      <c r="AC179" s="220">
        <f t="shared" si="34"/>
        <v>27.398003291469927</v>
      </c>
      <c r="AD179" s="220">
        <f t="shared" si="34"/>
        <v>25.340656477382545</v>
      </c>
      <c r="AE179" s="220">
        <f t="shared" si="34"/>
        <v>23.526331310240614</v>
      </c>
    </row>
    <row r="180" spans="5:31" x14ac:dyDescent="0.25">
      <c r="E180" s="225">
        <v>1.7500000000000002E-2</v>
      </c>
      <c r="F180" s="222">
        <f t="shared" si="26"/>
        <v>17.5</v>
      </c>
      <c r="G180" s="23">
        <f t="shared" ref="G180:G243" si="35">G$4-$E180*R0()</f>
        <v>-63.758750000000006</v>
      </c>
      <c r="H180" s="23">
        <f t="shared" si="33"/>
        <v>-53.758750000000006</v>
      </c>
      <c r="I180" s="23">
        <f t="shared" si="33"/>
        <v>-43.758750000000006</v>
      </c>
      <c r="J180" s="23">
        <f t="shared" si="33"/>
        <v>-33.758750000000006</v>
      </c>
      <c r="K180" s="23">
        <f t="shared" si="33"/>
        <v>-23.758750000000006</v>
      </c>
      <c r="L180" s="23">
        <f t="shared" si="33"/>
        <v>-13.758750000000006</v>
      </c>
      <c r="M180" s="23">
        <f t="shared" si="33"/>
        <v>-3.7587500000000063</v>
      </c>
      <c r="N180" s="23">
        <f t="shared" si="33"/>
        <v>6.2412499999999937</v>
      </c>
      <c r="O180" s="23">
        <f t="shared" si="33"/>
        <v>16.241249999999994</v>
      </c>
      <c r="P180" s="23">
        <f t="shared" si="33"/>
        <v>26.241249999999994</v>
      </c>
      <c r="Q180" s="23">
        <f t="shared" si="33"/>
        <v>36.241249999999994</v>
      </c>
      <c r="R180" s="23">
        <f t="shared" si="33"/>
        <v>46.241249999999994</v>
      </c>
      <c r="S180" s="23">
        <f t="shared" si="33"/>
        <v>56.241249999999994</v>
      </c>
      <c r="T180" s="23">
        <f t="shared" si="33"/>
        <v>66.241249999999994</v>
      </c>
      <c r="U180" s="23">
        <f t="shared" si="33"/>
        <v>76.241249999999994</v>
      </c>
      <c r="V180" s="220">
        <f t="shared" si="34"/>
        <v>69.872247795513928</v>
      </c>
      <c r="W180" s="220">
        <f t="shared" si="34"/>
        <v>54.312171322712786</v>
      </c>
      <c r="X180" s="220">
        <f t="shared" si="34"/>
        <v>45.942349423386673</v>
      </c>
      <c r="Y180" s="220">
        <f t="shared" si="34"/>
        <v>40.281014673543993</v>
      </c>
      <c r="Z180" s="220">
        <f t="shared" si="34"/>
        <v>36.03854058488217</v>
      </c>
      <c r="AA180" s="220">
        <f t="shared" si="34"/>
        <v>32.664303988545967</v>
      </c>
      <c r="AB180" s="220">
        <f t="shared" si="34"/>
        <v>29.873712165777178</v>
      </c>
      <c r="AC180" s="220">
        <f t="shared" si="34"/>
        <v>27.501126704579306</v>
      </c>
      <c r="AD180" s="220">
        <f t="shared" si="34"/>
        <v>25.441936578135724</v>
      </c>
      <c r="AE180" s="220">
        <f t="shared" si="34"/>
        <v>23.62599504932146</v>
      </c>
    </row>
    <row r="181" spans="5:31" x14ac:dyDescent="0.25">
      <c r="E181" s="225">
        <v>1.7600000000000001E-2</v>
      </c>
      <c r="F181" s="222">
        <f t="shared" si="26"/>
        <v>17.600000000000001</v>
      </c>
      <c r="G181" s="23">
        <f t="shared" si="35"/>
        <v>-64.008800000000008</v>
      </c>
      <c r="H181" s="23">
        <f t="shared" si="33"/>
        <v>-54.008800000000001</v>
      </c>
      <c r="I181" s="23">
        <f t="shared" si="33"/>
        <v>-44.008800000000001</v>
      </c>
      <c r="J181" s="23">
        <f t="shared" si="33"/>
        <v>-34.008800000000001</v>
      </c>
      <c r="K181" s="23">
        <f t="shared" si="33"/>
        <v>-24.008800000000001</v>
      </c>
      <c r="L181" s="23">
        <f t="shared" si="33"/>
        <v>-14.008800000000001</v>
      </c>
      <c r="M181" s="23">
        <f t="shared" si="33"/>
        <v>-4.0088000000000008</v>
      </c>
      <c r="N181" s="23">
        <f t="shared" si="33"/>
        <v>5.9911999999999992</v>
      </c>
      <c r="O181" s="23">
        <f t="shared" si="33"/>
        <v>15.991199999999999</v>
      </c>
      <c r="P181" s="23">
        <f t="shared" si="33"/>
        <v>25.991199999999999</v>
      </c>
      <c r="Q181" s="23">
        <f t="shared" si="33"/>
        <v>35.991199999999999</v>
      </c>
      <c r="R181" s="23">
        <f t="shared" si="33"/>
        <v>45.991199999999999</v>
      </c>
      <c r="S181" s="23">
        <f t="shared" si="33"/>
        <v>55.991199999999999</v>
      </c>
      <c r="T181" s="23">
        <f t="shared" si="33"/>
        <v>65.991199999999992</v>
      </c>
      <c r="U181" s="23">
        <f t="shared" si="33"/>
        <v>75.991199999999992</v>
      </c>
      <c r="V181" s="220">
        <f t="shared" si="34"/>
        <v>70.015689615852011</v>
      </c>
      <c r="W181" s="220">
        <f t="shared" si="34"/>
        <v>54.439749886852844</v>
      </c>
      <c r="X181" s="220">
        <f t="shared" si="34"/>
        <v>46.0619459253626</v>
      </c>
      <c r="Y181" s="220">
        <f t="shared" si="34"/>
        <v>40.395315668245054</v>
      </c>
      <c r="Z181" s="220">
        <f t="shared" si="34"/>
        <v>36.148928017585781</v>
      </c>
      <c r="AA181" s="220">
        <f t="shared" si="34"/>
        <v>32.771612284260733</v>
      </c>
      <c r="AB181" s="220">
        <f t="shared" si="34"/>
        <v>29.97849635000663</v>
      </c>
      <c r="AC181" s="220">
        <f t="shared" si="34"/>
        <v>27.603780834758872</v>
      </c>
      <c r="AD181" s="220">
        <f t="shared" si="34"/>
        <v>25.54275390868046</v>
      </c>
      <c r="AE181" s="220">
        <f t="shared" si="34"/>
        <v>23.725201730536618</v>
      </c>
    </row>
    <row r="182" spans="5:31" x14ac:dyDescent="0.25">
      <c r="E182" s="225">
        <v>1.77E-2</v>
      </c>
      <c r="F182" s="222">
        <f t="shared" si="26"/>
        <v>17.7</v>
      </c>
      <c r="G182" s="23">
        <f t="shared" si="35"/>
        <v>-64.258849999999995</v>
      </c>
      <c r="H182" s="23">
        <f t="shared" si="33"/>
        <v>-54.258850000000002</v>
      </c>
      <c r="I182" s="23">
        <f t="shared" si="33"/>
        <v>-44.258850000000002</v>
      </c>
      <c r="J182" s="23">
        <f t="shared" si="33"/>
        <v>-34.258850000000002</v>
      </c>
      <c r="K182" s="23">
        <f t="shared" si="33"/>
        <v>-24.258850000000002</v>
      </c>
      <c r="L182" s="23">
        <f t="shared" si="33"/>
        <v>-14.258850000000002</v>
      </c>
      <c r="M182" s="23">
        <f t="shared" si="33"/>
        <v>-4.2588500000000025</v>
      </c>
      <c r="N182" s="23">
        <f t="shared" si="33"/>
        <v>5.7411499999999975</v>
      </c>
      <c r="O182" s="23">
        <f t="shared" si="33"/>
        <v>15.741149999999998</v>
      </c>
      <c r="P182" s="23">
        <f t="shared" si="33"/>
        <v>25.741149999999998</v>
      </c>
      <c r="Q182" s="23">
        <f t="shared" si="33"/>
        <v>35.741149999999998</v>
      </c>
      <c r="R182" s="23">
        <f t="shared" si="33"/>
        <v>45.741149999999998</v>
      </c>
      <c r="S182" s="23">
        <f t="shared" si="33"/>
        <v>55.741149999999998</v>
      </c>
      <c r="T182" s="23">
        <f t="shared" si="33"/>
        <v>65.741150000000005</v>
      </c>
      <c r="U182" s="23">
        <f t="shared" si="33"/>
        <v>75.741150000000005</v>
      </c>
      <c r="V182" s="220">
        <f t="shared" si="34"/>
        <v>70.158526979223126</v>
      </c>
      <c r="W182" s="220">
        <f t="shared" si="34"/>
        <v>54.566777062905636</v>
      </c>
      <c r="X182" s="220">
        <f t="shared" si="34"/>
        <v>46.181018910358411</v>
      </c>
      <c r="Y182" s="220">
        <f t="shared" si="34"/>
        <v>40.509111667948098</v>
      </c>
      <c r="Z182" s="220">
        <f t="shared" si="34"/>
        <v>36.258824158106428</v>
      </c>
      <c r="AA182" s="220">
        <f t="shared" si="34"/>
        <v>32.878440076780912</v>
      </c>
      <c r="AB182" s="220">
        <f t="shared" si="34"/>
        <v>30.082808879950782</v>
      </c>
      <c r="AC182" s="220">
        <f t="shared" si="34"/>
        <v>27.705970781100426</v>
      </c>
      <c r="AD182" s="220">
        <f t="shared" si="34"/>
        <v>25.643113499377058</v>
      </c>
      <c r="AE182" s="220">
        <f t="shared" si="34"/>
        <v>23.823956323927199</v>
      </c>
    </row>
    <row r="183" spans="5:31" x14ac:dyDescent="0.25">
      <c r="E183" s="225">
        <v>1.78E-2</v>
      </c>
      <c r="F183" s="222">
        <f t="shared" si="26"/>
        <v>17.8</v>
      </c>
      <c r="G183" s="23">
        <f t="shared" si="35"/>
        <v>-64.508899999999997</v>
      </c>
      <c r="H183" s="23">
        <f t="shared" si="33"/>
        <v>-54.508899999999997</v>
      </c>
      <c r="I183" s="23">
        <f t="shared" si="33"/>
        <v>-44.508899999999997</v>
      </c>
      <c r="J183" s="23">
        <f t="shared" si="33"/>
        <v>-34.508899999999997</v>
      </c>
      <c r="K183" s="23">
        <f t="shared" si="33"/>
        <v>-24.508899999999997</v>
      </c>
      <c r="L183" s="23">
        <f t="shared" si="33"/>
        <v>-14.508899999999997</v>
      </c>
      <c r="M183" s="23">
        <f t="shared" si="33"/>
        <v>-4.508899999999997</v>
      </c>
      <c r="N183" s="23">
        <f t="shared" si="33"/>
        <v>5.491100000000003</v>
      </c>
      <c r="O183" s="23">
        <f t="shared" si="33"/>
        <v>15.491100000000003</v>
      </c>
      <c r="P183" s="23">
        <f t="shared" si="33"/>
        <v>25.491100000000003</v>
      </c>
      <c r="Q183" s="23">
        <f t="shared" si="33"/>
        <v>35.491100000000003</v>
      </c>
      <c r="R183" s="23">
        <f t="shared" si="33"/>
        <v>45.491100000000003</v>
      </c>
      <c r="S183" s="23">
        <f t="shared" si="33"/>
        <v>55.491100000000003</v>
      </c>
      <c r="T183" s="23">
        <f t="shared" si="33"/>
        <v>65.491100000000003</v>
      </c>
      <c r="U183" s="23">
        <f t="shared" si="33"/>
        <v>75.491100000000003</v>
      </c>
      <c r="V183" s="220">
        <f t="shared" si="34"/>
        <v>70.300766344593384</v>
      </c>
      <c r="W183" s="220">
        <f t="shared" si="34"/>
        <v>54.693258777859072</v>
      </c>
      <c r="X183" s="220">
        <f t="shared" si="34"/>
        <v>46.299574014875148</v>
      </c>
      <c r="Y183" s="220">
        <f t="shared" si="34"/>
        <v>40.622408115715146</v>
      </c>
      <c r="Z183" s="220">
        <f t="shared" si="34"/>
        <v>36.368234306190359</v>
      </c>
      <c r="AA183" s="220">
        <f t="shared" si="34"/>
        <v>32.984792552886219</v>
      </c>
      <c r="AB183" s="220">
        <f t="shared" si="34"/>
        <v>30.186654849652612</v>
      </c>
      <c r="AC183" s="220">
        <f t="shared" si="34"/>
        <v>27.807701559296973</v>
      </c>
      <c r="AD183" s="220">
        <f t="shared" si="34"/>
        <v>25.743020298289778</v>
      </c>
      <c r="AE183" s="220">
        <f t="shared" si="34"/>
        <v>23.922263718206253</v>
      </c>
    </row>
    <row r="184" spans="5:31" x14ac:dyDescent="0.25">
      <c r="E184" s="225">
        <v>1.7899999999999999E-2</v>
      </c>
      <c r="F184" s="222">
        <f t="shared" si="26"/>
        <v>17.899999999999999</v>
      </c>
      <c r="G184" s="23">
        <f t="shared" si="35"/>
        <v>-64.758949999999999</v>
      </c>
      <c r="H184" s="23">
        <f t="shared" si="33"/>
        <v>-54.758949999999999</v>
      </c>
      <c r="I184" s="23">
        <f t="shared" si="33"/>
        <v>-44.758949999999999</v>
      </c>
      <c r="J184" s="23">
        <f t="shared" si="33"/>
        <v>-34.758949999999999</v>
      </c>
      <c r="K184" s="23">
        <f t="shared" si="33"/>
        <v>-24.758949999999999</v>
      </c>
      <c r="L184" s="23">
        <f t="shared" si="33"/>
        <v>-14.758949999999999</v>
      </c>
      <c r="M184" s="23">
        <f t="shared" si="33"/>
        <v>-4.7589499999999987</v>
      </c>
      <c r="N184" s="23">
        <f t="shared" si="33"/>
        <v>5.2410500000000013</v>
      </c>
      <c r="O184" s="23">
        <f t="shared" si="33"/>
        <v>15.241050000000001</v>
      </c>
      <c r="P184" s="23">
        <f t="shared" si="33"/>
        <v>25.241050000000001</v>
      </c>
      <c r="Q184" s="23">
        <f t="shared" si="33"/>
        <v>35.241050000000001</v>
      </c>
      <c r="R184" s="23">
        <f t="shared" si="33"/>
        <v>45.241050000000001</v>
      </c>
      <c r="S184" s="23">
        <f t="shared" si="33"/>
        <v>55.241050000000001</v>
      </c>
      <c r="T184" s="23">
        <f t="shared" si="33"/>
        <v>65.241050000000001</v>
      </c>
      <c r="U184" s="23">
        <f t="shared" si="33"/>
        <v>75.241050000000001</v>
      </c>
      <c r="V184" s="220">
        <f t="shared" si="34"/>
        <v>70.442414066571899</v>
      </c>
      <c r="W184" s="220">
        <f t="shared" si="34"/>
        <v>54.819200862623362</v>
      </c>
      <c r="X184" s="220">
        <f t="shared" si="34"/>
        <v>46.417616783950749</v>
      </c>
      <c r="Y184" s="220">
        <f t="shared" si="34"/>
        <v>40.73521036622185</v>
      </c>
      <c r="Z184" s="220">
        <f t="shared" si="34"/>
        <v>36.477163675479062</v>
      </c>
      <c r="AA184" s="220">
        <f t="shared" si="34"/>
        <v>33.090674815051457</v>
      </c>
      <c r="AB184" s="220">
        <f t="shared" si="34"/>
        <v>30.290039270328492</v>
      </c>
      <c r="AC184" s="220">
        <f t="shared" si="34"/>
        <v>27.908978103464477</v>
      </c>
      <c r="AD184" s="220">
        <f t="shared" si="34"/>
        <v>25.842479172984866</v>
      </c>
      <c r="AE184" s="220">
        <f t="shared" si="34"/>
        <v>24.020128722536143</v>
      </c>
    </row>
    <row r="185" spans="5:31" x14ac:dyDescent="0.25">
      <c r="E185" s="225">
        <v>1.7999999999999999E-2</v>
      </c>
      <c r="F185" s="222">
        <f t="shared" si="26"/>
        <v>18</v>
      </c>
      <c r="G185" s="23">
        <f t="shared" si="35"/>
        <v>-65.008999999999986</v>
      </c>
      <c r="H185" s="23">
        <f t="shared" si="33"/>
        <v>-55.008999999999993</v>
      </c>
      <c r="I185" s="23">
        <f t="shared" si="33"/>
        <v>-45.008999999999993</v>
      </c>
      <c r="J185" s="23">
        <f t="shared" si="33"/>
        <v>-35.008999999999993</v>
      </c>
      <c r="K185" s="23">
        <f t="shared" si="33"/>
        <v>-25.008999999999993</v>
      </c>
      <c r="L185" s="23">
        <f t="shared" si="33"/>
        <v>-15.008999999999993</v>
      </c>
      <c r="M185" s="23">
        <f t="shared" si="33"/>
        <v>-5.0089999999999932</v>
      </c>
      <c r="N185" s="23">
        <f t="shared" si="33"/>
        <v>4.9910000000000068</v>
      </c>
      <c r="O185" s="23">
        <f t="shared" si="33"/>
        <v>14.991000000000007</v>
      </c>
      <c r="P185" s="23">
        <f t="shared" si="33"/>
        <v>24.991000000000007</v>
      </c>
      <c r="Q185" s="23">
        <f t="shared" si="33"/>
        <v>34.991000000000007</v>
      </c>
      <c r="R185" s="23">
        <f t="shared" si="33"/>
        <v>44.991000000000007</v>
      </c>
      <c r="S185" s="23">
        <f t="shared" si="33"/>
        <v>54.991000000000007</v>
      </c>
      <c r="T185" s="23">
        <f t="shared" si="33"/>
        <v>64.991000000000014</v>
      </c>
      <c r="U185" s="23">
        <f t="shared" si="33"/>
        <v>74.991000000000014</v>
      </c>
      <c r="V185" s="220">
        <f t="shared" si="34"/>
        <v>70.583476397667823</v>
      </c>
      <c r="W185" s="220">
        <f t="shared" si="34"/>
        <v>54.944609054113293</v>
      </c>
      <c r="X185" s="220">
        <f t="shared" si="34"/>
        <v>46.535152673143578</v>
      </c>
      <c r="Y185" s="220">
        <f t="shared" si="34"/>
        <v>40.847523687675483</v>
      </c>
      <c r="Z185" s="220">
        <f t="shared" si="34"/>
        <v>36.585617395378527</v>
      </c>
      <c r="AA185" s="220">
        <f t="shared" si="34"/>
        <v>33.19609188327717</v>
      </c>
      <c r="AB185" s="220">
        <f t="shared" si="34"/>
        <v>30.392967072167188</v>
      </c>
      <c r="AC185" s="220">
        <f t="shared" si="34"/>
        <v>28.009805267914096</v>
      </c>
      <c r="AD185" s="220">
        <f t="shared" si="34"/>
        <v>25.941494912279744</v>
      </c>
      <c r="AE185" s="220">
        <f t="shared" si="34"/>
        <v>24.117556068257493</v>
      </c>
    </row>
    <row r="186" spans="5:31" x14ac:dyDescent="0.25">
      <c r="E186" s="225">
        <v>1.8100000000000002E-2</v>
      </c>
      <c r="F186" s="222">
        <f t="shared" si="26"/>
        <v>18.100000000000001</v>
      </c>
      <c r="G186" s="23">
        <f t="shared" si="35"/>
        <v>-65.259050000000002</v>
      </c>
      <c r="H186" s="23">
        <f t="shared" si="33"/>
        <v>-55.259050000000002</v>
      </c>
      <c r="I186" s="23">
        <f t="shared" si="33"/>
        <v>-45.259050000000002</v>
      </c>
      <c r="J186" s="23">
        <f t="shared" si="33"/>
        <v>-35.259050000000002</v>
      </c>
      <c r="K186" s="23">
        <f t="shared" si="33"/>
        <v>-25.259050000000002</v>
      </c>
      <c r="L186" s="23">
        <f t="shared" si="33"/>
        <v>-15.259050000000002</v>
      </c>
      <c r="M186" s="23">
        <f t="shared" si="33"/>
        <v>-5.259050000000002</v>
      </c>
      <c r="N186" s="23">
        <f t="shared" si="33"/>
        <v>4.740949999999998</v>
      </c>
      <c r="O186" s="23">
        <f t="shared" si="33"/>
        <v>14.740949999999998</v>
      </c>
      <c r="P186" s="23">
        <f t="shared" si="33"/>
        <v>24.740949999999998</v>
      </c>
      <c r="Q186" s="23">
        <f t="shared" si="33"/>
        <v>34.740949999999998</v>
      </c>
      <c r="R186" s="23">
        <f t="shared" si="33"/>
        <v>44.740949999999998</v>
      </c>
      <c r="S186" s="23">
        <f t="shared" si="33"/>
        <v>54.740949999999998</v>
      </c>
      <c r="T186" s="23">
        <f t="shared" si="33"/>
        <v>64.740949999999998</v>
      </c>
      <c r="U186" s="23">
        <f t="shared" si="33"/>
        <v>74.740949999999998</v>
      </c>
      <c r="V186" s="220">
        <f t="shared" ref="V186:AE195" si="36">Enthalpie_p_phi_x(hx_druck,V$4,$E186)-$E186*R0()</f>
        <v>70.723959490486749</v>
      </c>
      <c r="W186" s="220">
        <f t="shared" si="36"/>
        <v>55.069488997273936</v>
      </c>
      <c r="X186" s="220">
        <f t="shared" si="36"/>
        <v>46.652187050462402</v>
      </c>
      <c r="Y186" s="220">
        <f t="shared" si="36"/>
        <v>40.959353263680669</v>
      </c>
      <c r="Z186" s="220">
        <f t="shared" si="36"/>
        <v>36.693600512877481</v>
      </c>
      <c r="AA186" s="220">
        <f t="shared" si="36"/>
        <v>33.301048696870396</v>
      </c>
      <c r="AB186" s="220">
        <f t="shared" si="36"/>
        <v>30.495443106079875</v>
      </c>
      <c r="AC186" s="220">
        <f t="shared" si="36"/>
        <v>28.110187828876192</v>
      </c>
      <c r="AD186" s="220">
        <f t="shared" si="36"/>
        <v>26.040072227944435</v>
      </c>
      <c r="AE186" s="220">
        <f t="shared" si="36"/>
        <v>24.214550410570709</v>
      </c>
    </row>
    <row r="187" spans="5:31" x14ac:dyDescent="0.25">
      <c r="E187" s="225">
        <v>1.8200000000000001E-2</v>
      </c>
      <c r="F187" s="222">
        <f t="shared" si="26"/>
        <v>18.2</v>
      </c>
      <c r="G187" s="23">
        <f t="shared" si="35"/>
        <v>-65.509100000000004</v>
      </c>
      <c r="H187" s="23">
        <f t="shared" si="33"/>
        <v>-55.509100000000004</v>
      </c>
      <c r="I187" s="23">
        <f t="shared" si="33"/>
        <v>-45.509100000000004</v>
      </c>
      <c r="J187" s="23">
        <f t="shared" si="33"/>
        <v>-35.509100000000004</v>
      </c>
      <c r="K187" s="23">
        <f t="shared" si="33"/>
        <v>-25.509100000000004</v>
      </c>
      <c r="L187" s="23">
        <f t="shared" si="33"/>
        <v>-15.509100000000004</v>
      </c>
      <c r="M187" s="23">
        <f t="shared" si="33"/>
        <v>-5.5091000000000037</v>
      </c>
      <c r="N187" s="23">
        <f t="shared" si="33"/>
        <v>4.4908999999999963</v>
      </c>
      <c r="O187" s="23">
        <f t="shared" si="33"/>
        <v>14.490899999999996</v>
      </c>
      <c r="P187" s="23">
        <f t="shared" si="33"/>
        <v>24.490899999999996</v>
      </c>
      <c r="Q187" s="23">
        <f t="shared" si="33"/>
        <v>34.490899999999996</v>
      </c>
      <c r="R187" s="23">
        <f t="shared" si="33"/>
        <v>44.490899999999996</v>
      </c>
      <c r="S187" s="23">
        <f t="shared" si="33"/>
        <v>54.490899999999996</v>
      </c>
      <c r="T187" s="23">
        <f t="shared" si="33"/>
        <v>64.490899999999996</v>
      </c>
      <c r="U187" s="23">
        <f t="shared" si="33"/>
        <v>74.490899999999996</v>
      </c>
      <c r="V187" s="220">
        <f t="shared" si="36"/>
        <v>70.863869399867369</v>
      </c>
      <c r="W187" s="220">
        <f t="shared" si="36"/>
        <v>55.19384624705198</v>
      </c>
      <c r="X187" s="220">
        <f t="shared" si="36"/>
        <v>46.768725198244212</v>
      </c>
      <c r="Y187" s="220">
        <f t="shared" si="36"/>
        <v>41.070704195055058</v>
      </c>
      <c r="Z187" s="220">
        <f t="shared" si="36"/>
        <v>36.801117994316826</v>
      </c>
      <c r="AA187" s="220">
        <f t="shared" si="36"/>
        <v>33.40555011617765</v>
      </c>
      <c r="AB187" s="220">
        <f t="shared" si="36"/>
        <v>30.597472145403046</v>
      </c>
      <c r="AC187" s="220">
        <f t="shared" si="36"/>
        <v>28.210130486177917</v>
      </c>
      <c r="AD187" s="220">
        <f t="shared" si="36"/>
        <v>26.138215756357297</v>
      </c>
      <c r="AE187" s="220">
        <f t="shared" si="36"/>
        <v>24.311116330172894</v>
      </c>
    </row>
    <row r="188" spans="5:31" x14ac:dyDescent="0.25">
      <c r="E188" s="225">
        <v>1.83E-2</v>
      </c>
      <c r="F188" s="222">
        <f t="shared" si="26"/>
        <v>18.3</v>
      </c>
      <c r="G188" s="23">
        <f t="shared" si="35"/>
        <v>-65.759150000000005</v>
      </c>
      <c r="H188" s="23">
        <f t="shared" si="33"/>
        <v>-55.759149999999998</v>
      </c>
      <c r="I188" s="23">
        <f t="shared" si="33"/>
        <v>-45.759149999999998</v>
      </c>
      <c r="J188" s="23">
        <f t="shared" si="33"/>
        <v>-35.759149999999998</v>
      </c>
      <c r="K188" s="23">
        <f t="shared" si="33"/>
        <v>-25.759149999999998</v>
      </c>
      <c r="L188" s="23">
        <f t="shared" si="33"/>
        <v>-15.759149999999998</v>
      </c>
      <c r="M188" s="23">
        <f t="shared" si="33"/>
        <v>-5.7591499999999982</v>
      </c>
      <c r="N188" s="23">
        <f t="shared" si="33"/>
        <v>4.2408500000000018</v>
      </c>
      <c r="O188" s="23">
        <f t="shared" si="33"/>
        <v>14.240850000000002</v>
      </c>
      <c r="P188" s="23">
        <f t="shared" si="33"/>
        <v>24.240850000000002</v>
      </c>
      <c r="Q188" s="23">
        <f t="shared" si="33"/>
        <v>34.240850000000002</v>
      </c>
      <c r="R188" s="23">
        <f t="shared" si="33"/>
        <v>44.240850000000002</v>
      </c>
      <c r="S188" s="23">
        <f t="shared" si="33"/>
        <v>54.240850000000002</v>
      </c>
      <c r="T188" s="23">
        <f t="shared" si="33"/>
        <v>64.240849999999995</v>
      </c>
      <c r="U188" s="23">
        <f t="shared" si="33"/>
        <v>74.240849999999995</v>
      </c>
      <c r="V188" s="220">
        <f t="shared" si="36"/>
        <v>71.003212084961575</v>
      </c>
      <c r="W188" s="220">
        <f t="shared" si="36"/>
        <v>55.317686270313949</v>
      </c>
      <c r="X188" s="220">
        <f t="shared" si="36"/>
        <v>46.884772314981795</v>
      </c>
      <c r="Y188" s="220">
        <f t="shared" si="36"/>
        <v>41.181581501596192</v>
      </c>
      <c r="Z188" s="220">
        <f t="shared" si="36"/>
        <v>36.908174727111479</v>
      </c>
      <c r="AA188" s="220">
        <f t="shared" si="36"/>
        <v>33.509600924271275</v>
      </c>
      <c r="AB188" s="220">
        <f t="shared" si="36"/>
        <v>30.699058887555786</v>
      </c>
      <c r="AC188" s="220">
        <f t="shared" si="36"/>
        <v>28.309637864875704</v>
      </c>
      <c r="AD188" s="220">
        <f t="shared" si="36"/>
        <v>26.23593006011621</v>
      </c>
      <c r="AE188" s="220">
        <f t="shared" si="36"/>
        <v>24.40725833484948</v>
      </c>
    </row>
    <row r="189" spans="5:31" x14ac:dyDescent="0.25">
      <c r="E189" s="225">
        <v>1.84E-2</v>
      </c>
      <c r="F189" s="222">
        <f t="shared" si="26"/>
        <v>18.399999999999999</v>
      </c>
      <c r="G189" s="23">
        <f t="shared" si="35"/>
        <v>-66.009199999999993</v>
      </c>
      <c r="H189" s="23">
        <f t="shared" si="33"/>
        <v>-56.0092</v>
      </c>
      <c r="I189" s="23">
        <f t="shared" si="33"/>
        <v>-46.0092</v>
      </c>
      <c r="J189" s="23">
        <f t="shared" si="33"/>
        <v>-36.0092</v>
      </c>
      <c r="K189" s="23">
        <f t="shared" si="33"/>
        <v>-26.0092</v>
      </c>
      <c r="L189" s="23">
        <f t="shared" si="33"/>
        <v>-16.0092</v>
      </c>
      <c r="M189" s="23">
        <f t="shared" si="33"/>
        <v>-6.0091999999999999</v>
      </c>
      <c r="N189" s="23">
        <f t="shared" si="33"/>
        <v>3.9908000000000001</v>
      </c>
      <c r="O189" s="23">
        <f t="shared" si="33"/>
        <v>13.9908</v>
      </c>
      <c r="P189" s="23">
        <f t="shared" si="33"/>
        <v>23.9908</v>
      </c>
      <c r="Q189" s="23">
        <f t="shared" si="33"/>
        <v>33.9908</v>
      </c>
      <c r="R189" s="23">
        <f t="shared" si="33"/>
        <v>43.9908</v>
      </c>
      <c r="S189" s="23">
        <f t="shared" si="33"/>
        <v>53.9908</v>
      </c>
      <c r="T189" s="23">
        <f t="shared" si="33"/>
        <v>63.9908</v>
      </c>
      <c r="U189" s="23">
        <f t="shared" si="33"/>
        <v>73.990800000000007</v>
      </c>
      <c r="V189" s="220">
        <f t="shared" si="36"/>
        <v>71.141993411258937</v>
      </c>
      <c r="W189" s="220">
        <f t="shared" si="36"/>
        <v>55.441014447713634</v>
      </c>
      <c r="X189" s="220">
        <f t="shared" si="36"/>
        <v>47.000333517102483</v>
      </c>
      <c r="Y189" s="220">
        <f t="shared" si="36"/>
        <v>41.291990123801249</v>
      </c>
      <c r="Z189" s="220">
        <f t="shared" si="36"/>
        <v>37.014775521426351</v>
      </c>
      <c r="AA189" s="220">
        <f t="shared" si="36"/>
        <v>33.613205828590729</v>
      </c>
      <c r="AB189" s="220">
        <f t="shared" si="36"/>
        <v>30.800207955652546</v>
      </c>
      <c r="AC189" s="220">
        <f t="shared" si="36"/>
        <v>28.408714516844206</v>
      </c>
      <c r="AD189" s="220">
        <f t="shared" si="36"/>
        <v>26.333219629606766</v>
      </c>
      <c r="AE189" s="220">
        <f t="shared" si="36"/>
        <v>24.502980861025016</v>
      </c>
    </row>
    <row r="190" spans="5:31" x14ac:dyDescent="0.25">
      <c r="E190" s="225">
        <v>1.8499999999999999E-2</v>
      </c>
      <c r="F190" s="222">
        <f t="shared" si="26"/>
        <v>18.5</v>
      </c>
      <c r="G190" s="23">
        <f t="shared" si="35"/>
        <v>-66.259249999999994</v>
      </c>
      <c r="H190" s="23">
        <f t="shared" si="33"/>
        <v>-56.259249999999994</v>
      </c>
      <c r="I190" s="23">
        <f t="shared" si="33"/>
        <v>-46.259249999999994</v>
      </c>
      <c r="J190" s="23">
        <f t="shared" si="33"/>
        <v>-36.259249999999994</v>
      </c>
      <c r="K190" s="23">
        <f t="shared" si="33"/>
        <v>-26.259249999999994</v>
      </c>
      <c r="L190" s="23">
        <f t="shared" si="33"/>
        <v>-16.259249999999994</v>
      </c>
      <c r="M190" s="23">
        <f t="shared" si="33"/>
        <v>-6.2592499999999944</v>
      </c>
      <c r="N190" s="23">
        <f t="shared" si="33"/>
        <v>3.7407500000000056</v>
      </c>
      <c r="O190" s="23">
        <f t="shared" si="33"/>
        <v>13.740750000000006</v>
      </c>
      <c r="P190" s="23">
        <f t="shared" si="33"/>
        <v>23.740750000000006</v>
      </c>
      <c r="Q190" s="23">
        <f t="shared" si="33"/>
        <v>33.740750000000006</v>
      </c>
      <c r="R190" s="23">
        <f t="shared" si="33"/>
        <v>43.740750000000006</v>
      </c>
      <c r="S190" s="23">
        <f t="shared" si="33"/>
        <v>53.740750000000006</v>
      </c>
      <c r="T190" s="23">
        <f t="shared" si="33"/>
        <v>63.740750000000006</v>
      </c>
      <c r="U190" s="23">
        <f t="shared" si="33"/>
        <v>73.740750000000006</v>
      </c>
      <c r="V190" s="220">
        <f t="shared" si="36"/>
        <v>71.280219152557592</v>
      </c>
      <c r="W190" s="220">
        <f t="shared" si="36"/>
        <v>55.563836075509897</v>
      </c>
      <c r="X190" s="220">
        <f t="shared" si="36"/>
        <v>47.115413840699787</v>
      </c>
      <c r="Y190" s="220">
        <f t="shared" si="36"/>
        <v>41.401934924541223</v>
      </c>
      <c r="Z190" s="220">
        <f t="shared" si="36"/>
        <v>37.120925111807807</v>
      </c>
      <c r="AA190" s="220">
        <f t="shared" si="36"/>
        <v>33.716369462540499</v>
      </c>
      <c r="AB190" s="220">
        <f t="shared" si="36"/>
        <v>30.900923900073522</v>
      </c>
      <c r="AC190" s="220">
        <f t="shared" si="36"/>
        <v>28.507364922323035</v>
      </c>
      <c r="AD190" s="220">
        <f t="shared" si="36"/>
        <v>26.430088884528757</v>
      </c>
      <c r="AE190" s="220">
        <f t="shared" si="36"/>
        <v>24.598288275271642</v>
      </c>
    </row>
    <row r="191" spans="5:31" x14ac:dyDescent="0.25">
      <c r="E191" s="225">
        <v>1.8599999999999998E-2</v>
      </c>
      <c r="F191" s="222">
        <f t="shared" si="26"/>
        <v>18.599999999999998</v>
      </c>
      <c r="G191" s="23">
        <f t="shared" si="35"/>
        <v>-66.509299999999996</v>
      </c>
      <c r="H191" s="23">
        <f t="shared" si="33"/>
        <v>-56.509299999999996</v>
      </c>
      <c r="I191" s="23">
        <f t="shared" si="33"/>
        <v>-46.509299999999996</v>
      </c>
      <c r="J191" s="23">
        <f t="shared" si="33"/>
        <v>-36.509299999999996</v>
      </c>
      <c r="K191" s="23">
        <f t="shared" si="33"/>
        <v>-26.509299999999996</v>
      </c>
      <c r="L191" s="23">
        <f t="shared" si="33"/>
        <v>-16.509299999999996</v>
      </c>
      <c r="M191" s="23">
        <f t="shared" si="33"/>
        <v>-6.5092999999999961</v>
      </c>
      <c r="N191" s="23">
        <f t="shared" si="33"/>
        <v>3.4907000000000039</v>
      </c>
      <c r="O191" s="23">
        <f t="shared" si="33"/>
        <v>13.490700000000004</v>
      </c>
      <c r="P191" s="23">
        <f t="shared" si="33"/>
        <v>23.490700000000004</v>
      </c>
      <c r="Q191" s="23">
        <f t="shared" si="33"/>
        <v>33.490700000000004</v>
      </c>
      <c r="R191" s="23">
        <f t="shared" si="33"/>
        <v>43.490700000000004</v>
      </c>
      <c r="S191" s="23">
        <f t="shared" si="33"/>
        <v>53.490700000000004</v>
      </c>
      <c r="T191" s="23">
        <f t="shared" ref="H191:U210" si="37">T$4-$E191*R0()</f>
        <v>63.490700000000004</v>
      </c>
      <c r="U191" s="23">
        <f t="shared" si="37"/>
        <v>73.490700000000004</v>
      </c>
      <c r="V191" s="220">
        <f t="shared" si="36"/>
        <v>71.417894992883191</v>
      </c>
      <c r="W191" s="220">
        <f t="shared" si="36"/>
        <v>55.686156367336451</v>
      </c>
      <c r="X191" s="220">
        <f t="shared" si="36"/>
        <v>47.230018243219448</v>
      </c>
      <c r="Y191" s="220">
        <f t="shared" si="36"/>
        <v>41.511420690690784</v>
      </c>
      <c r="Z191" s="220">
        <f t="shared" si="36"/>
        <v>37.22662815877203</v>
      </c>
      <c r="AA191" s="220">
        <f t="shared" si="36"/>
        <v>33.819096387045676</v>
      </c>
      <c r="AB191" s="220">
        <f t="shared" si="36"/>
        <v>31.001211199993151</v>
      </c>
      <c r="AC191" s="220">
        <f t="shared" si="36"/>
        <v>28.605593491422695</v>
      </c>
      <c r="AD191" s="220">
        <f t="shared" si="36"/>
        <v>26.526542175382517</v>
      </c>
      <c r="AE191" s="220">
        <f t="shared" si="36"/>
        <v>24.693184875778144</v>
      </c>
    </row>
    <row r="192" spans="5:31" x14ac:dyDescent="0.25">
      <c r="E192" s="225">
        <v>1.8700000000000001E-2</v>
      </c>
      <c r="F192" s="222">
        <f t="shared" si="26"/>
        <v>18.700000000000003</v>
      </c>
      <c r="G192" s="23">
        <f t="shared" si="35"/>
        <v>-66.759350000000012</v>
      </c>
      <c r="H192" s="23">
        <f t="shared" si="37"/>
        <v>-56.759350000000005</v>
      </c>
      <c r="I192" s="23">
        <f t="shared" si="37"/>
        <v>-46.759350000000005</v>
      </c>
      <c r="J192" s="23">
        <f t="shared" si="37"/>
        <v>-36.759350000000005</v>
      </c>
      <c r="K192" s="23">
        <f t="shared" si="37"/>
        <v>-26.759350000000005</v>
      </c>
      <c r="L192" s="23">
        <f t="shared" si="37"/>
        <v>-16.759350000000005</v>
      </c>
      <c r="M192" s="23">
        <f t="shared" si="37"/>
        <v>-6.7593500000000049</v>
      </c>
      <c r="N192" s="23">
        <f t="shared" si="37"/>
        <v>3.2406499999999951</v>
      </c>
      <c r="O192" s="23">
        <f t="shared" si="37"/>
        <v>13.240649999999995</v>
      </c>
      <c r="P192" s="23">
        <f t="shared" si="37"/>
        <v>23.240649999999995</v>
      </c>
      <c r="Q192" s="23">
        <f t="shared" si="37"/>
        <v>33.240649999999995</v>
      </c>
      <c r="R192" s="23">
        <f t="shared" si="37"/>
        <v>43.240649999999995</v>
      </c>
      <c r="S192" s="23">
        <f t="shared" si="37"/>
        <v>53.240649999999995</v>
      </c>
      <c r="T192" s="23">
        <f t="shared" si="37"/>
        <v>63.240649999999995</v>
      </c>
      <c r="U192" s="23">
        <f t="shared" si="37"/>
        <v>73.240649999999988</v>
      </c>
      <c r="V192" s="220">
        <f t="shared" si="36"/>
        <v>71.5550265283577</v>
      </c>
      <c r="W192" s="220">
        <f t="shared" si="36"/>
        <v>55.807980455925438</v>
      </c>
      <c r="X192" s="220">
        <f t="shared" si="36"/>
        <v>47.344151605101111</v>
      </c>
      <c r="Y192" s="220">
        <f t="shared" si="36"/>
        <v>41.620452134715613</v>
      </c>
      <c r="Z192" s="220">
        <f t="shared" si="36"/>
        <v>37.331889250351857</v>
      </c>
      <c r="AA192" s="220">
        <f t="shared" si="36"/>
        <v>33.921391092066735</v>
      </c>
      <c r="AB192" s="220">
        <f t="shared" si="36"/>
        <v>31.10107426486875</v>
      </c>
      <c r="AC192" s="220">
        <f t="shared" si="36"/>
        <v>28.703404565590951</v>
      </c>
      <c r="AD192" s="220">
        <f t="shared" si="36"/>
        <v>26.622583784915982</v>
      </c>
      <c r="AE192" s="220">
        <f t="shared" si="36"/>
        <v>24.787674893779901</v>
      </c>
    </row>
    <row r="193" spans="5:31" x14ac:dyDescent="0.25">
      <c r="E193" s="225">
        <v>1.8800000000000001E-2</v>
      </c>
      <c r="F193" s="222">
        <f t="shared" si="26"/>
        <v>18.8</v>
      </c>
      <c r="G193" s="23">
        <f t="shared" si="35"/>
        <v>-67.009399999999999</v>
      </c>
      <c r="H193" s="23">
        <f t="shared" si="37"/>
        <v>-57.009399999999999</v>
      </c>
      <c r="I193" s="23">
        <f t="shared" si="37"/>
        <v>-47.009399999999999</v>
      </c>
      <c r="J193" s="23">
        <f t="shared" si="37"/>
        <v>-37.009399999999999</v>
      </c>
      <c r="K193" s="23">
        <f t="shared" si="37"/>
        <v>-27.009399999999999</v>
      </c>
      <c r="L193" s="23">
        <f t="shared" si="37"/>
        <v>-17.009399999999999</v>
      </c>
      <c r="M193" s="23">
        <f t="shared" si="37"/>
        <v>-7.0093999999999994</v>
      </c>
      <c r="N193" s="23">
        <f t="shared" si="37"/>
        <v>2.9906000000000006</v>
      </c>
      <c r="O193" s="23">
        <f t="shared" si="37"/>
        <v>12.990600000000001</v>
      </c>
      <c r="P193" s="23">
        <f t="shared" si="37"/>
        <v>22.990600000000001</v>
      </c>
      <c r="Q193" s="23">
        <f t="shared" si="37"/>
        <v>32.990600000000001</v>
      </c>
      <c r="R193" s="23">
        <f t="shared" si="37"/>
        <v>42.990600000000001</v>
      </c>
      <c r="S193" s="23">
        <f t="shared" si="37"/>
        <v>52.990600000000001</v>
      </c>
      <c r="T193" s="23">
        <f t="shared" si="37"/>
        <v>62.990600000000001</v>
      </c>
      <c r="U193" s="23">
        <f t="shared" si="37"/>
        <v>72.990600000000001</v>
      </c>
      <c r="V193" s="220">
        <f t="shared" si="36"/>
        <v>71.69161926901981</v>
      </c>
      <c r="W193" s="220">
        <f t="shared" si="36"/>
        <v>55.929313394785964</v>
      </c>
      <c r="X193" s="220">
        <f t="shared" si="36"/>
        <v>47.457818731377245</v>
      </c>
      <c r="Y193" s="220">
        <f t="shared" si="36"/>
        <v>41.729033896218084</v>
      </c>
      <c r="Z193" s="220">
        <f t="shared" si="36"/>
        <v>37.436712903603052</v>
      </c>
      <c r="AA193" s="220">
        <f t="shared" si="36"/>
        <v>34.023257998074826</v>
      </c>
      <c r="AB193" s="220">
        <f t="shared" si="36"/>
        <v>31.200517435890148</v>
      </c>
      <c r="AC193" s="220">
        <f t="shared" si="36"/>
        <v>28.800802419040792</v>
      </c>
      <c r="AD193" s="220">
        <f t="shared" si="36"/>
        <v>26.718217929534148</v>
      </c>
      <c r="AE193" s="220">
        <f t="shared" si="36"/>
        <v>24.881762494952383</v>
      </c>
    </row>
    <row r="194" spans="5:31" x14ac:dyDescent="0.25">
      <c r="E194" s="225">
        <v>1.89E-2</v>
      </c>
      <c r="F194" s="222">
        <f t="shared" si="26"/>
        <v>18.899999999999999</v>
      </c>
      <c r="G194" s="23">
        <f t="shared" si="35"/>
        <v>-67.259450000000001</v>
      </c>
      <c r="H194" s="23">
        <f t="shared" si="37"/>
        <v>-57.259450000000001</v>
      </c>
      <c r="I194" s="23">
        <f t="shared" si="37"/>
        <v>-47.259450000000001</v>
      </c>
      <c r="J194" s="23">
        <f t="shared" si="37"/>
        <v>-37.259450000000001</v>
      </c>
      <c r="K194" s="23">
        <f t="shared" si="37"/>
        <v>-27.259450000000001</v>
      </c>
      <c r="L194" s="23">
        <f t="shared" si="37"/>
        <v>-17.259450000000001</v>
      </c>
      <c r="M194" s="23">
        <f t="shared" si="37"/>
        <v>-7.2594500000000011</v>
      </c>
      <c r="N194" s="23">
        <f t="shared" si="37"/>
        <v>2.7405499999999989</v>
      </c>
      <c r="O194" s="23">
        <f t="shared" si="37"/>
        <v>12.740549999999999</v>
      </c>
      <c r="P194" s="23">
        <f t="shared" si="37"/>
        <v>22.740549999999999</v>
      </c>
      <c r="Q194" s="23">
        <f t="shared" si="37"/>
        <v>32.740549999999999</v>
      </c>
      <c r="R194" s="23">
        <f t="shared" si="37"/>
        <v>42.740549999999999</v>
      </c>
      <c r="S194" s="23">
        <f t="shared" si="37"/>
        <v>52.740549999999999</v>
      </c>
      <c r="T194" s="23">
        <f t="shared" si="37"/>
        <v>62.740549999999999</v>
      </c>
      <c r="U194" s="23">
        <f t="shared" si="37"/>
        <v>72.740549999999999</v>
      </c>
      <c r="V194" s="220">
        <f t="shared" si="36"/>
        <v>71.82767864059754</v>
      </c>
      <c r="W194" s="220">
        <f t="shared" si="36"/>
        <v>56.050160159839109</v>
      </c>
      <c r="X194" s="220">
        <f t="shared" si="36"/>
        <v>47.571024353230627</v>
      </c>
      <c r="Y194" s="220">
        <f t="shared" si="36"/>
        <v>41.83717054344298</v>
      </c>
      <c r="Z194" s="220">
        <f t="shared" si="36"/>
        <v>37.541103566071513</v>
      </c>
      <c r="AA194" s="220">
        <f t="shared" si="36"/>
        <v>34.124701457488598</v>
      </c>
      <c r="AB194" s="220">
        <f t="shared" si="36"/>
        <v>31.299544987391684</v>
      </c>
      <c r="AC194" s="220">
        <f t="shared" si="36"/>
        <v>28.897791260141489</v>
      </c>
      <c r="AD194" s="220">
        <f t="shared" si="36"/>
        <v>26.813448760671832</v>
      </c>
      <c r="AE194" s="220">
        <f t="shared" si="36"/>
        <v>24.975451780767969</v>
      </c>
    </row>
    <row r="195" spans="5:31" x14ac:dyDescent="0.25">
      <c r="E195" s="225">
        <v>1.9E-2</v>
      </c>
      <c r="F195" s="222">
        <f t="shared" si="26"/>
        <v>19</v>
      </c>
      <c r="G195" s="23">
        <f t="shared" si="35"/>
        <v>-67.509500000000003</v>
      </c>
      <c r="H195" s="23">
        <f t="shared" si="37"/>
        <v>-57.509499999999996</v>
      </c>
      <c r="I195" s="23">
        <f t="shared" si="37"/>
        <v>-47.509499999999996</v>
      </c>
      <c r="J195" s="23">
        <f t="shared" si="37"/>
        <v>-37.509499999999996</v>
      </c>
      <c r="K195" s="23">
        <f t="shared" si="37"/>
        <v>-27.509499999999996</v>
      </c>
      <c r="L195" s="23">
        <f t="shared" si="37"/>
        <v>-17.509499999999996</v>
      </c>
      <c r="M195" s="23">
        <f t="shared" si="37"/>
        <v>-7.5094999999999956</v>
      </c>
      <c r="N195" s="23">
        <f t="shared" si="37"/>
        <v>2.4905000000000044</v>
      </c>
      <c r="O195" s="23">
        <f t="shared" si="37"/>
        <v>12.490500000000004</v>
      </c>
      <c r="P195" s="23">
        <f t="shared" si="37"/>
        <v>22.490500000000004</v>
      </c>
      <c r="Q195" s="23">
        <f t="shared" si="37"/>
        <v>32.490500000000004</v>
      </c>
      <c r="R195" s="23">
        <f t="shared" si="37"/>
        <v>42.490500000000004</v>
      </c>
      <c r="S195" s="23">
        <f t="shared" si="37"/>
        <v>52.490500000000004</v>
      </c>
      <c r="T195" s="23">
        <f t="shared" si="37"/>
        <v>62.490500000000004</v>
      </c>
      <c r="U195" s="23">
        <f t="shared" si="37"/>
        <v>72.490499999999997</v>
      </c>
      <c r="V195" s="220">
        <f t="shared" si="36"/>
        <v>71.963209986235626</v>
      </c>
      <c r="W195" s="220">
        <f t="shared" si="36"/>
        <v>56.170525651010728</v>
      </c>
      <c r="X195" s="220">
        <f t="shared" si="36"/>
        <v>47.68377312951143</v>
      </c>
      <c r="Y195" s="220">
        <f t="shared" si="36"/>
        <v>41.944866574744118</v>
      </c>
      <c r="Z195" s="220">
        <f t="shared" si="36"/>
        <v>37.645065617222691</v>
      </c>
      <c r="AA195" s="220">
        <f t="shared" si="36"/>
        <v>34.225725756074048</v>
      </c>
      <c r="AB195" s="220">
        <f t="shared" si="36"/>
        <v>31.398161128227763</v>
      </c>
      <c r="AC195" s="220">
        <f t="shared" si="36"/>
        <v>28.994375232773429</v>
      </c>
      <c r="AD195" s="220">
        <f t="shared" si="36"/>
        <v>26.908280366130846</v>
      </c>
      <c r="AE195" s="220">
        <f t="shared" si="36"/>
        <v>25.068746789816963</v>
      </c>
    </row>
    <row r="196" spans="5:31" x14ac:dyDescent="0.25">
      <c r="E196" s="225">
        <v>1.9099999999999999E-2</v>
      </c>
      <c r="F196" s="222">
        <f t="shared" si="26"/>
        <v>19.099999999999998</v>
      </c>
      <c r="G196" s="23">
        <f t="shared" si="35"/>
        <v>-67.75954999999999</v>
      </c>
      <c r="H196" s="23">
        <f t="shared" si="37"/>
        <v>-57.759549999999997</v>
      </c>
      <c r="I196" s="23">
        <f t="shared" si="37"/>
        <v>-47.759549999999997</v>
      </c>
      <c r="J196" s="23">
        <f t="shared" si="37"/>
        <v>-37.759549999999997</v>
      </c>
      <c r="K196" s="23">
        <f t="shared" si="37"/>
        <v>-27.759549999999997</v>
      </c>
      <c r="L196" s="23">
        <f t="shared" si="37"/>
        <v>-17.759549999999997</v>
      </c>
      <c r="M196" s="23">
        <f t="shared" si="37"/>
        <v>-7.7595499999999973</v>
      </c>
      <c r="N196" s="23">
        <f t="shared" si="37"/>
        <v>2.2404500000000027</v>
      </c>
      <c r="O196" s="23">
        <f t="shared" si="37"/>
        <v>12.240450000000003</v>
      </c>
      <c r="P196" s="23">
        <f t="shared" si="37"/>
        <v>22.240450000000003</v>
      </c>
      <c r="Q196" s="23">
        <f t="shared" si="37"/>
        <v>32.240450000000003</v>
      </c>
      <c r="R196" s="23">
        <f t="shared" si="37"/>
        <v>42.240450000000003</v>
      </c>
      <c r="S196" s="23">
        <f t="shared" si="37"/>
        <v>52.240450000000003</v>
      </c>
      <c r="T196" s="23">
        <f t="shared" si="37"/>
        <v>62.240450000000003</v>
      </c>
      <c r="U196" s="23">
        <f t="shared" si="37"/>
        <v>72.24045000000001</v>
      </c>
      <c r="V196" s="220">
        <f t="shared" ref="V196:AE205" si="38">Enthalpie_p_phi_x(hx_druck,V$4,$E196)-$E196*R0()</f>
        <v>72.09821856817868</v>
      </c>
      <c r="W196" s="220">
        <f t="shared" si="38"/>
        <v>56.290414693783383</v>
      </c>
      <c r="X196" s="220">
        <f t="shared" si="38"/>
        <v>47.796069648215614</v>
      </c>
      <c r="Y196" s="220">
        <f t="shared" si="38"/>
        <v>42.052126420013643</v>
      </c>
      <c r="Z196" s="220">
        <f t="shared" si="38"/>
        <v>37.748603369834008</v>
      </c>
      <c r="AA196" s="220">
        <f t="shared" si="38"/>
        <v>34.326335114308272</v>
      </c>
      <c r="AB196" s="220">
        <f t="shared" si="38"/>
        <v>31.496370003112894</v>
      </c>
      <c r="AC196" s="220">
        <f t="shared" si="38"/>
        <v>29.090558417648417</v>
      </c>
      <c r="AD196" s="220">
        <f t="shared" si="38"/>
        <v>27.002716771382943</v>
      </c>
      <c r="AE196" s="220">
        <f t="shared" si="38"/>
        <v>25.161651499095974</v>
      </c>
    </row>
    <row r="197" spans="5:31" x14ac:dyDescent="0.25">
      <c r="E197" s="225">
        <v>1.9199999999999998E-2</v>
      </c>
      <c r="F197" s="222">
        <f t="shared" si="26"/>
        <v>19.2</v>
      </c>
      <c r="G197" s="23">
        <f t="shared" si="35"/>
        <v>-68.009600000000006</v>
      </c>
      <c r="H197" s="23">
        <f t="shared" si="37"/>
        <v>-58.009599999999999</v>
      </c>
      <c r="I197" s="23">
        <f t="shared" si="37"/>
        <v>-48.009599999999999</v>
      </c>
      <c r="J197" s="23">
        <f t="shared" si="37"/>
        <v>-38.009599999999999</v>
      </c>
      <c r="K197" s="23">
        <f t="shared" si="37"/>
        <v>-28.009599999999999</v>
      </c>
      <c r="L197" s="23">
        <f t="shared" si="37"/>
        <v>-18.009599999999999</v>
      </c>
      <c r="M197" s="23">
        <f t="shared" si="37"/>
        <v>-8.0095999999999989</v>
      </c>
      <c r="N197" s="23">
        <f t="shared" si="37"/>
        <v>1.9904000000000011</v>
      </c>
      <c r="O197" s="23">
        <f t="shared" si="37"/>
        <v>11.990400000000001</v>
      </c>
      <c r="P197" s="23">
        <f t="shared" si="37"/>
        <v>21.990400000000001</v>
      </c>
      <c r="Q197" s="23">
        <f t="shared" si="37"/>
        <v>31.990400000000001</v>
      </c>
      <c r="R197" s="23">
        <f t="shared" si="37"/>
        <v>41.990400000000001</v>
      </c>
      <c r="S197" s="23">
        <f t="shared" si="37"/>
        <v>51.990400000000001</v>
      </c>
      <c r="T197" s="23">
        <f t="shared" si="37"/>
        <v>61.990400000000001</v>
      </c>
      <c r="U197" s="23">
        <f t="shared" si="37"/>
        <v>71.990399999999994</v>
      </c>
      <c r="V197" s="220">
        <f t="shared" si="38"/>
        <v>72.232709569411128</v>
      </c>
      <c r="W197" s="220">
        <f t="shared" si="38"/>
        <v>56.409832040708785</v>
      </c>
      <c r="X197" s="220">
        <f t="shared" si="38"/>
        <v>47.907918427925274</v>
      </c>
      <c r="Y197" s="220">
        <f t="shared" si="38"/>
        <v>42.158954442074283</v>
      </c>
      <c r="Z197" s="220">
        <f t="shared" si="38"/>
        <v>37.851721071352053</v>
      </c>
      <c r="AA197" s="220">
        <f t="shared" si="38"/>
        <v>34.426533688708425</v>
      </c>
      <c r="AB197" s="220">
        <f t="shared" si="38"/>
        <v>31.594175693927703</v>
      </c>
      <c r="AC197" s="220">
        <f t="shared" si="38"/>
        <v>29.186344833595975</v>
      </c>
      <c r="AD197" s="220">
        <f t="shared" si="38"/>
        <v>27.096761940839308</v>
      </c>
      <c r="AE197" s="220">
        <f t="shared" si="38"/>
        <v>25.254169825262416</v>
      </c>
    </row>
    <row r="198" spans="5:31" x14ac:dyDescent="0.25">
      <c r="E198" s="225">
        <v>1.9300000000000001E-2</v>
      </c>
      <c r="F198" s="222">
        <f t="shared" ref="F198:F255" si="39">E198*1000</f>
        <v>19.3</v>
      </c>
      <c r="G198" s="23">
        <f t="shared" si="35"/>
        <v>-68.259649999999993</v>
      </c>
      <c r="H198" s="23">
        <f t="shared" si="37"/>
        <v>-58.259650000000001</v>
      </c>
      <c r="I198" s="23">
        <f t="shared" si="37"/>
        <v>-48.259650000000001</v>
      </c>
      <c r="J198" s="23">
        <f t="shared" si="37"/>
        <v>-38.259650000000001</v>
      </c>
      <c r="K198" s="23">
        <f t="shared" si="37"/>
        <v>-28.259650000000001</v>
      </c>
      <c r="L198" s="23">
        <f t="shared" si="37"/>
        <v>-18.259650000000001</v>
      </c>
      <c r="M198" s="23">
        <f t="shared" si="37"/>
        <v>-8.2596500000000006</v>
      </c>
      <c r="N198" s="23">
        <f t="shared" si="37"/>
        <v>1.7403499999999994</v>
      </c>
      <c r="O198" s="23">
        <f t="shared" si="37"/>
        <v>11.740349999999999</v>
      </c>
      <c r="P198" s="23">
        <f t="shared" si="37"/>
        <v>21.740349999999999</v>
      </c>
      <c r="Q198" s="23">
        <f t="shared" si="37"/>
        <v>31.740349999999999</v>
      </c>
      <c r="R198" s="23">
        <f t="shared" si="37"/>
        <v>41.740349999999999</v>
      </c>
      <c r="S198" s="23">
        <f t="shared" si="37"/>
        <v>51.740349999999999</v>
      </c>
      <c r="T198" s="23">
        <f t="shared" si="37"/>
        <v>61.740349999999999</v>
      </c>
      <c r="U198" s="23">
        <f t="shared" si="37"/>
        <v>71.740350000000007</v>
      </c>
      <c r="V198" s="220">
        <f t="shared" si="38"/>
        <v>72.366688095255768</v>
      </c>
      <c r="W198" s="220">
        <f t="shared" si="38"/>
        <v>56.528782372881558</v>
      </c>
      <c r="X198" s="220">
        <f t="shared" si="38"/>
        <v>48.01932391921266</v>
      </c>
      <c r="Y198" s="220">
        <f t="shared" si="38"/>
        <v>42.265354938036829</v>
      </c>
      <c r="Z198" s="220">
        <f t="shared" si="38"/>
        <v>37.954422905214891</v>
      </c>
      <c r="AA198" s="220">
        <f t="shared" si="38"/>
        <v>34.526325573126833</v>
      </c>
      <c r="AB198" s="220">
        <f t="shared" si="38"/>
        <v>31.691582220991414</v>
      </c>
      <c r="AC198" s="220">
        <f t="shared" si="38"/>
        <v>29.281738438816951</v>
      </c>
      <c r="AD198" s="220">
        <f t="shared" si="38"/>
        <v>27.19041977908784</v>
      </c>
      <c r="AE198" s="220">
        <f t="shared" si="38"/>
        <v>25.346305625857276</v>
      </c>
    </row>
    <row r="199" spans="5:31" x14ac:dyDescent="0.25">
      <c r="E199" s="225">
        <v>1.9400000000000001E-2</v>
      </c>
      <c r="F199" s="222">
        <f t="shared" si="39"/>
        <v>19.400000000000002</v>
      </c>
      <c r="G199" s="23">
        <f t="shared" si="35"/>
        <v>-68.509700000000009</v>
      </c>
      <c r="H199" s="23">
        <f t="shared" si="37"/>
        <v>-58.509700000000002</v>
      </c>
      <c r="I199" s="23">
        <f t="shared" si="37"/>
        <v>-48.509700000000002</v>
      </c>
      <c r="J199" s="23">
        <f t="shared" si="37"/>
        <v>-38.509700000000002</v>
      </c>
      <c r="K199" s="23">
        <f t="shared" si="37"/>
        <v>-28.509700000000002</v>
      </c>
      <c r="L199" s="23">
        <f t="shared" si="37"/>
        <v>-18.509700000000002</v>
      </c>
      <c r="M199" s="23">
        <f t="shared" si="37"/>
        <v>-8.5097000000000023</v>
      </c>
      <c r="N199" s="23">
        <f t="shared" si="37"/>
        <v>1.4902999999999977</v>
      </c>
      <c r="O199" s="23">
        <f t="shared" si="37"/>
        <v>11.490299999999998</v>
      </c>
      <c r="P199" s="23">
        <f t="shared" si="37"/>
        <v>21.490299999999998</v>
      </c>
      <c r="Q199" s="23">
        <f t="shared" si="37"/>
        <v>31.490299999999998</v>
      </c>
      <c r="R199" s="23">
        <f t="shared" si="37"/>
        <v>41.490299999999998</v>
      </c>
      <c r="S199" s="23">
        <f t="shared" si="37"/>
        <v>51.490299999999998</v>
      </c>
      <c r="T199" s="23">
        <f t="shared" si="37"/>
        <v>61.490299999999998</v>
      </c>
      <c r="U199" s="23">
        <f t="shared" si="37"/>
        <v>71.490299999999991</v>
      </c>
      <c r="V199" s="220">
        <f t="shared" si="38"/>
        <v>72.500159174931866</v>
      </c>
      <c r="W199" s="220">
        <f t="shared" si="38"/>
        <v>56.647270301375961</v>
      </c>
      <c r="X199" s="220">
        <f t="shared" si="38"/>
        <v>48.130290506008386</v>
      </c>
      <c r="Y199" s="220">
        <f t="shared" si="38"/>
        <v>42.371332140622634</v>
      </c>
      <c r="Z199" s="220">
        <f t="shared" si="38"/>
        <v>38.056712992141179</v>
      </c>
      <c r="AA199" s="220">
        <f t="shared" si="38"/>
        <v>34.625714800013306</v>
      </c>
      <c r="AB199" s="220">
        <f t="shared" si="38"/>
        <v>31.788593544302408</v>
      </c>
      <c r="AC199" s="220">
        <f t="shared" si="38"/>
        <v>29.376743132105439</v>
      </c>
      <c r="AD199" s="220">
        <f t="shared" si="38"/>
        <v>27.283694132098951</v>
      </c>
      <c r="AE199" s="220">
        <f t="shared" si="38"/>
        <v>25.438062700497007</v>
      </c>
    </row>
    <row r="200" spans="5:31" x14ac:dyDescent="0.25">
      <c r="E200" s="225">
        <v>1.95E-2</v>
      </c>
      <c r="F200" s="222">
        <f t="shared" si="39"/>
        <v>19.5</v>
      </c>
      <c r="G200" s="23">
        <f t="shared" si="35"/>
        <v>-68.759749999999997</v>
      </c>
      <c r="H200" s="23">
        <f t="shared" si="37"/>
        <v>-58.759749999999997</v>
      </c>
      <c r="I200" s="23">
        <f t="shared" si="37"/>
        <v>-48.759749999999997</v>
      </c>
      <c r="J200" s="23">
        <f t="shared" si="37"/>
        <v>-38.759749999999997</v>
      </c>
      <c r="K200" s="23">
        <f t="shared" si="37"/>
        <v>-28.759749999999997</v>
      </c>
      <c r="L200" s="23">
        <f t="shared" si="37"/>
        <v>-18.759749999999997</v>
      </c>
      <c r="M200" s="23">
        <f t="shared" si="37"/>
        <v>-8.7597499999999968</v>
      </c>
      <c r="N200" s="23">
        <f t="shared" si="37"/>
        <v>1.2402500000000032</v>
      </c>
      <c r="O200" s="23">
        <f t="shared" si="37"/>
        <v>11.240250000000003</v>
      </c>
      <c r="P200" s="23">
        <f t="shared" si="37"/>
        <v>21.240250000000003</v>
      </c>
      <c r="Q200" s="23">
        <f t="shared" si="37"/>
        <v>31.240250000000003</v>
      </c>
      <c r="R200" s="23">
        <f t="shared" si="37"/>
        <v>41.240250000000003</v>
      </c>
      <c r="S200" s="23">
        <f t="shared" si="37"/>
        <v>51.240250000000003</v>
      </c>
      <c r="T200" s="23">
        <f t="shared" si="37"/>
        <v>61.240250000000003</v>
      </c>
      <c r="U200" s="23">
        <f t="shared" si="37"/>
        <v>71.240250000000003</v>
      </c>
      <c r="V200" s="220">
        <f t="shared" si="38"/>
        <v>72.633127763074469</v>
      </c>
      <c r="W200" s="220">
        <f t="shared" si="38"/>
        <v>56.765300368646464</v>
      </c>
      <c r="X200" s="220">
        <f t="shared" si="38"/>
        <v>48.240822506935558</v>
      </c>
      <c r="Y200" s="220">
        <f t="shared" si="38"/>
        <v>42.476890219453395</v>
      </c>
      <c r="Z200" s="220">
        <f t="shared" si="38"/>
        <v>38.158595391386712</v>
      </c>
      <c r="AA200" s="220">
        <f t="shared" si="38"/>
        <v>34.724705341645802</v>
      </c>
      <c r="AB200" s="220">
        <f t="shared" si="38"/>
        <v>31.885213564747417</v>
      </c>
      <c r="AC200" s="220">
        <f t="shared" si="38"/>
        <v>29.471362754040015</v>
      </c>
      <c r="AD200" s="220">
        <f t="shared" si="38"/>
        <v>27.376588788401222</v>
      </c>
      <c r="AE200" s="220">
        <f t="shared" si="38"/>
        <v>25.529444792035491</v>
      </c>
    </row>
    <row r="201" spans="5:31" x14ac:dyDescent="0.25">
      <c r="E201" s="225">
        <v>1.9599999999999999E-2</v>
      </c>
      <c r="F201" s="222">
        <f t="shared" si="39"/>
        <v>19.599999999999998</v>
      </c>
      <c r="G201" s="23">
        <f t="shared" si="35"/>
        <v>-69.009799999999998</v>
      </c>
      <c r="H201" s="23">
        <f t="shared" si="37"/>
        <v>-59.009799999999998</v>
      </c>
      <c r="I201" s="23">
        <f t="shared" si="37"/>
        <v>-49.009799999999998</v>
      </c>
      <c r="J201" s="23">
        <f t="shared" si="37"/>
        <v>-39.009799999999998</v>
      </c>
      <c r="K201" s="23">
        <f t="shared" si="37"/>
        <v>-29.009799999999998</v>
      </c>
      <c r="L201" s="23">
        <f t="shared" si="37"/>
        <v>-19.009799999999998</v>
      </c>
      <c r="M201" s="23">
        <f t="shared" si="37"/>
        <v>-9.0097999999999985</v>
      </c>
      <c r="N201" s="23">
        <f t="shared" si="37"/>
        <v>0.99020000000000152</v>
      </c>
      <c r="O201" s="23">
        <f t="shared" si="37"/>
        <v>10.990200000000002</v>
      </c>
      <c r="P201" s="23">
        <f t="shared" si="37"/>
        <v>20.990200000000002</v>
      </c>
      <c r="Q201" s="23">
        <f t="shared" si="37"/>
        <v>30.990200000000002</v>
      </c>
      <c r="R201" s="23">
        <f t="shared" si="37"/>
        <v>40.990200000000002</v>
      </c>
      <c r="S201" s="23">
        <f t="shared" si="37"/>
        <v>50.990200000000002</v>
      </c>
      <c r="T201" s="23">
        <f t="shared" si="37"/>
        <v>60.990200000000002</v>
      </c>
      <c r="U201" s="23">
        <f t="shared" si="37"/>
        <v>70.990200000000002</v>
      </c>
      <c r="V201" s="220">
        <f t="shared" si="38"/>
        <v>72.76559874121503</v>
      </c>
      <c r="W201" s="220">
        <f t="shared" si="38"/>
        <v>56.882877049893281</v>
      </c>
      <c r="X201" s="220">
        <f t="shared" si="38"/>
        <v>48.35092417661032</v>
      </c>
      <c r="Y201" s="220">
        <f t="shared" si="38"/>
        <v>42.582033282308331</v>
      </c>
      <c r="Z201" s="220">
        <f t="shared" si="38"/>
        <v>38.260074101969494</v>
      </c>
      <c r="AA201" s="220">
        <f t="shared" si="38"/>
        <v>34.823301111330053</v>
      </c>
      <c r="AB201" s="220">
        <f t="shared" si="38"/>
        <v>31.981446125280343</v>
      </c>
      <c r="AC201" s="220">
        <f t="shared" si="38"/>
        <v>29.565601088144859</v>
      </c>
      <c r="AD201" s="220">
        <f t="shared" si="38"/>
        <v>27.469107480227365</v>
      </c>
      <c r="AE201" s="220">
        <f t="shared" si="38"/>
        <v>25.620455587696569</v>
      </c>
    </row>
    <row r="202" spans="5:31" x14ac:dyDescent="0.25">
      <c r="E202" s="225">
        <v>1.9699999999999999E-2</v>
      </c>
      <c r="F202" s="222">
        <f t="shared" si="39"/>
        <v>19.7</v>
      </c>
      <c r="G202" s="23">
        <f t="shared" si="35"/>
        <v>-69.25985</v>
      </c>
      <c r="H202" s="23">
        <f t="shared" si="37"/>
        <v>-59.25985</v>
      </c>
      <c r="I202" s="23">
        <f t="shared" si="37"/>
        <v>-49.25985</v>
      </c>
      <c r="J202" s="23">
        <f t="shared" si="37"/>
        <v>-39.25985</v>
      </c>
      <c r="K202" s="23">
        <f t="shared" si="37"/>
        <v>-29.25985</v>
      </c>
      <c r="L202" s="23">
        <f t="shared" si="37"/>
        <v>-19.25985</v>
      </c>
      <c r="M202" s="23">
        <f t="shared" si="37"/>
        <v>-9.2598500000000001</v>
      </c>
      <c r="N202" s="23">
        <f t="shared" si="37"/>
        <v>0.74014999999999986</v>
      </c>
      <c r="O202" s="23">
        <f t="shared" si="37"/>
        <v>10.74015</v>
      </c>
      <c r="P202" s="23">
        <f t="shared" si="37"/>
        <v>20.74015</v>
      </c>
      <c r="Q202" s="23">
        <f t="shared" si="37"/>
        <v>30.74015</v>
      </c>
      <c r="R202" s="23">
        <f t="shared" si="37"/>
        <v>40.74015</v>
      </c>
      <c r="S202" s="23">
        <f t="shared" si="37"/>
        <v>50.74015</v>
      </c>
      <c r="T202" s="23">
        <f t="shared" si="37"/>
        <v>60.74015</v>
      </c>
      <c r="U202" s="23">
        <f t="shared" si="37"/>
        <v>70.74015</v>
      </c>
      <c r="V202" s="220">
        <f t="shared" si="38"/>
        <v>72.897576919226196</v>
      </c>
      <c r="W202" s="220">
        <f t="shared" si="38"/>
        <v>57.000004754393856</v>
      </c>
      <c r="X202" s="220">
        <f t="shared" si="38"/>
        <v>48.460599706909946</v>
      </c>
      <c r="Y202" s="220">
        <f t="shared" si="38"/>
        <v>42.686765376350024</v>
      </c>
      <c r="Z202" s="220">
        <f t="shared" si="38"/>
        <v>38.36115306386445</v>
      </c>
      <c r="AA202" s="220">
        <f t="shared" si="38"/>
        <v>34.921505964569505</v>
      </c>
      <c r="AB202" s="220">
        <f t="shared" si="38"/>
        <v>32.077295012071858</v>
      </c>
      <c r="AC202" s="220">
        <f t="shared" si="38"/>
        <v>29.659461862022198</v>
      </c>
      <c r="AD202" s="220">
        <f t="shared" si="38"/>
        <v>27.561253884631782</v>
      </c>
      <c r="AE202" s="220">
        <f t="shared" si="38"/>
        <v>25.711098720178299</v>
      </c>
    </row>
    <row r="203" spans="5:31" x14ac:dyDescent="0.25">
      <c r="E203" s="225">
        <v>1.9800000000000002E-2</v>
      </c>
      <c r="F203" s="222">
        <f t="shared" si="39"/>
        <v>19.8</v>
      </c>
      <c r="G203" s="23">
        <f t="shared" si="35"/>
        <v>-69.509900000000002</v>
      </c>
      <c r="H203" s="23">
        <f t="shared" si="37"/>
        <v>-59.509900000000002</v>
      </c>
      <c r="I203" s="23">
        <f t="shared" si="37"/>
        <v>-49.509900000000002</v>
      </c>
      <c r="J203" s="23">
        <f t="shared" si="37"/>
        <v>-39.509900000000002</v>
      </c>
      <c r="K203" s="23">
        <f t="shared" si="37"/>
        <v>-29.509900000000002</v>
      </c>
      <c r="L203" s="23">
        <f t="shared" si="37"/>
        <v>-19.509900000000002</v>
      </c>
      <c r="M203" s="23">
        <f t="shared" si="37"/>
        <v>-9.5099000000000018</v>
      </c>
      <c r="N203" s="23">
        <f t="shared" si="37"/>
        <v>0.4900999999999982</v>
      </c>
      <c r="O203" s="23">
        <f t="shared" si="37"/>
        <v>10.490099999999998</v>
      </c>
      <c r="P203" s="23">
        <f t="shared" si="37"/>
        <v>20.490099999999998</v>
      </c>
      <c r="Q203" s="23">
        <f t="shared" si="37"/>
        <v>30.490099999999998</v>
      </c>
      <c r="R203" s="23">
        <f t="shared" si="37"/>
        <v>40.490099999999998</v>
      </c>
      <c r="S203" s="23">
        <f t="shared" si="37"/>
        <v>50.490099999999998</v>
      </c>
      <c r="T203" s="23">
        <f t="shared" si="37"/>
        <v>60.490099999999998</v>
      </c>
      <c r="U203" s="23">
        <f t="shared" si="37"/>
        <v>70.490099999999998</v>
      </c>
      <c r="V203" s="220">
        <f t="shared" si="38"/>
        <v>73.029067036730012</v>
      </c>
      <c r="W203" s="220">
        <f t="shared" si="38"/>
        <v>57.116687826801538</v>
      </c>
      <c r="X203" s="220">
        <f t="shared" si="38"/>
        <v>48.569853228209794</v>
      </c>
      <c r="Y203" s="220">
        <f t="shared" si="38"/>
        <v>42.79109048932024</v>
      </c>
      <c r="Z203" s="220">
        <f t="shared" si="38"/>
        <v>38.4618361591683</v>
      </c>
      <c r="AA203" s="220">
        <f t="shared" si="38"/>
        <v>35.019323700206115</v>
      </c>
      <c r="AB203" s="220">
        <f t="shared" si="38"/>
        <v>32.17276395563043</v>
      </c>
      <c r="AC203" s="220">
        <f t="shared" si="38"/>
        <v>29.752948748456575</v>
      </c>
      <c r="AD203" s="220">
        <f t="shared" si="38"/>
        <v>27.653031624580322</v>
      </c>
      <c r="AE203" s="220">
        <f t="shared" si="38"/>
        <v>25.801377768730546</v>
      </c>
    </row>
    <row r="204" spans="5:31" x14ac:dyDescent="0.25">
      <c r="E204" s="225">
        <v>1.9900000000000001E-2</v>
      </c>
      <c r="F204" s="222">
        <f t="shared" si="39"/>
        <v>19.900000000000002</v>
      </c>
      <c r="G204" s="23">
        <f t="shared" si="35"/>
        <v>-69.759950000000003</v>
      </c>
      <c r="H204" s="23">
        <f t="shared" si="37"/>
        <v>-59.759950000000003</v>
      </c>
      <c r="I204" s="23">
        <f t="shared" si="37"/>
        <v>-49.759950000000003</v>
      </c>
      <c r="J204" s="23">
        <f t="shared" si="37"/>
        <v>-39.759950000000003</v>
      </c>
      <c r="K204" s="23">
        <f t="shared" si="37"/>
        <v>-29.759950000000003</v>
      </c>
      <c r="L204" s="23">
        <f t="shared" si="37"/>
        <v>-19.759950000000003</v>
      </c>
      <c r="M204" s="23">
        <f t="shared" si="37"/>
        <v>-9.7599500000000035</v>
      </c>
      <c r="N204" s="23">
        <f t="shared" si="37"/>
        <v>0.24004999999999654</v>
      </c>
      <c r="O204" s="23">
        <f t="shared" si="37"/>
        <v>10.240049999999997</v>
      </c>
      <c r="P204" s="23">
        <f t="shared" si="37"/>
        <v>20.240049999999997</v>
      </c>
      <c r="Q204" s="23">
        <f t="shared" si="37"/>
        <v>30.240049999999997</v>
      </c>
      <c r="R204" s="23">
        <f t="shared" si="37"/>
        <v>40.240049999999997</v>
      </c>
      <c r="S204" s="23">
        <f t="shared" si="37"/>
        <v>50.240049999999997</v>
      </c>
      <c r="T204" s="23">
        <f t="shared" si="37"/>
        <v>60.240049999999997</v>
      </c>
      <c r="U204" s="23">
        <f t="shared" si="37"/>
        <v>70.240049999999997</v>
      </c>
      <c r="V204" s="220">
        <f t="shared" si="38"/>
        <v>73.160073764472216</v>
      </c>
      <c r="W204" s="220">
        <f t="shared" si="38"/>
        <v>57.232930548412099</v>
      </c>
      <c r="X204" s="220">
        <f t="shared" si="38"/>
        <v>48.678688810589534</v>
      </c>
      <c r="Y204" s="220">
        <f t="shared" si="38"/>
        <v>42.895012550705644</v>
      </c>
      <c r="Z204" s="220">
        <f t="shared" si="38"/>
        <v>38.562127213235769</v>
      </c>
      <c r="AA204" s="220">
        <f t="shared" si="38"/>
        <v>35.116758061533119</v>
      </c>
      <c r="AB204" s="220">
        <f t="shared" si="38"/>
        <v>32.267856631895583</v>
      </c>
      <c r="AC204" s="220">
        <f t="shared" si="38"/>
        <v>29.846065366491729</v>
      </c>
      <c r="AD204" s="220">
        <f t="shared" si="38"/>
        <v>27.744444270013162</v>
      </c>
      <c r="AE204" s="220">
        <f t="shared" si="38"/>
        <v>25.891296260205294</v>
      </c>
    </row>
    <row r="205" spans="5:31" x14ac:dyDescent="0.25">
      <c r="E205" s="225">
        <v>0.02</v>
      </c>
      <c r="F205" s="222">
        <f t="shared" si="39"/>
        <v>20</v>
      </c>
      <c r="G205" s="23">
        <f t="shared" si="35"/>
        <v>-70.009999999999991</v>
      </c>
      <c r="H205" s="23">
        <f t="shared" si="37"/>
        <v>-60.01</v>
      </c>
      <c r="I205" s="23">
        <f t="shared" si="37"/>
        <v>-50.01</v>
      </c>
      <c r="J205" s="23">
        <f t="shared" si="37"/>
        <v>-40.01</v>
      </c>
      <c r="K205" s="23">
        <f t="shared" si="37"/>
        <v>-30.009999999999998</v>
      </c>
      <c r="L205" s="23">
        <f t="shared" si="37"/>
        <v>-20.009999999999998</v>
      </c>
      <c r="M205" s="23">
        <f t="shared" si="37"/>
        <v>-10.009999999999998</v>
      </c>
      <c r="N205" s="23">
        <f t="shared" si="37"/>
        <v>-9.9999999999980105E-3</v>
      </c>
      <c r="O205" s="23">
        <f t="shared" si="37"/>
        <v>9.990000000000002</v>
      </c>
      <c r="P205" s="23">
        <f t="shared" si="37"/>
        <v>19.990000000000002</v>
      </c>
      <c r="Q205" s="23">
        <f t="shared" si="37"/>
        <v>29.990000000000002</v>
      </c>
      <c r="R205" s="23">
        <f t="shared" si="37"/>
        <v>39.99</v>
      </c>
      <c r="S205" s="23">
        <f t="shared" si="37"/>
        <v>49.99</v>
      </c>
      <c r="T205" s="23">
        <f t="shared" si="37"/>
        <v>59.99</v>
      </c>
      <c r="U205" s="23">
        <f t="shared" si="37"/>
        <v>69.990000000000009</v>
      </c>
      <c r="V205" s="220">
        <f t="shared" si="38"/>
        <v>73.290601705662226</v>
      </c>
      <c r="W205" s="220">
        <f t="shared" si="38"/>
        <v>57.348737138399365</v>
      </c>
      <c r="X205" s="220">
        <f t="shared" si="38"/>
        <v>48.787110465009867</v>
      </c>
      <c r="Y205" s="220">
        <f t="shared" si="38"/>
        <v>42.998535432875705</v>
      </c>
      <c r="Z205" s="220">
        <f t="shared" si="38"/>
        <v>38.662029995788124</v>
      </c>
      <c r="AA205" s="220">
        <f t="shared" si="38"/>
        <v>35.213812737380316</v>
      </c>
      <c r="AB205" s="220">
        <f t="shared" si="38"/>
        <v>32.362576663304559</v>
      </c>
      <c r="AC205" s="220">
        <f t="shared" si="38"/>
        <v>29.938815282481364</v>
      </c>
      <c r="AD205" s="220">
        <f t="shared" si="38"/>
        <v>27.835495338881536</v>
      </c>
      <c r="AE205" s="220">
        <f t="shared" si="38"/>
        <v>25.980857670080802</v>
      </c>
    </row>
    <row r="206" spans="5:31" x14ac:dyDescent="0.25">
      <c r="E206" s="225">
        <v>2.01E-2</v>
      </c>
      <c r="F206" s="222">
        <f t="shared" si="39"/>
        <v>20.100000000000001</v>
      </c>
      <c r="G206" s="23">
        <f t="shared" si="35"/>
        <v>-70.260050000000007</v>
      </c>
      <c r="H206" s="23">
        <f t="shared" si="37"/>
        <v>-60.26005</v>
      </c>
      <c r="I206" s="23">
        <f t="shared" si="37"/>
        <v>-50.26005</v>
      </c>
      <c r="J206" s="23">
        <f t="shared" si="37"/>
        <v>-40.26005</v>
      </c>
      <c r="K206" s="23">
        <f t="shared" si="37"/>
        <v>-30.26005</v>
      </c>
      <c r="L206" s="23">
        <f t="shared" si="37"/>
        <v>-20.26005</v>
      </c>
      <c r="M206" s="23">
        <f t="shared" si="37"/>
        <v>-10.26005</v>
      </c>
      <c r="N206" s="23">
        <f t="shared" si="37"/>
        <v>-0.26004999999999967</v>
      </c>
      <c r="O206" s="23">
        <f t="shared" si="37"/>
        <v>9.7399500000000003</v>
      </c>
      <c r="P206" s="23">
        <f t="shared" si="37"/>
        <v>19.73995</v>
      </c>
      <c r="Q206" s="23">
        <f t="shared" si="37"/>
        <v>29.73995</v>
      </c>
      <c r="R206" s="23">
        <f t="shared" si="37"/>
        <v>39.73995</v>
      </c>
      <c r="S206" s="23">
        <f t="shared" si="37"/>
        <v>49.73995</v>
      </c>
      <c r="T206" s="23">
        <f t="shared" si="37"/>
        <v>59.73995</v>
      </c>
      <c r="U206" s="23">
        <f t="shared" si="37"/>
        <v>69.739949999999993</v>
      </c>
      <c r="V206" s="220">
        <f t="shared" ref="V206:AE215" si="40">Enthalpie_p_phi_x(hx_druck,V$4,$E206)-$E206*R0()</f>
        <v>73.420655397281109</v>
      </c>
      <c r="W206" s="220">
        <f t="shared" si="40"/>
        <v>57.464111755020561</v>
      </c>
      <c r="X206" s="220">
        <f t="shared" si="40"/>
        <v>48.895122144460522</v>
      </c>
      <c r="Y206" s="220">
        <f t="shared" si="40"/>
        <v>43.101662952192022</v>
      </c>
      <c r="Z206" s="220">
        <f t="shared" si="40"/>
        <v>38.761548221994296</v>
      </c>
      <c r="AA206" s="220">
        <f t="shared" si="40"/>
        <v>35.31049136317305</v>
      </c>
      <c r="AB206" s="220">
        <f t="shared" si="40"/>
        <v>32.456927619832619</v>
      </c>
      <c r="AC206" s="220">
        <f t="shared" si="40"/>
        <v>30.031202011113756</v>
      </c>
      <c r="AD206" s="220">
        <f t="shared" si="40"/>
        <v>27.926188298159268</v>
      </c>
      <c r="AE206" s="220">
        <f t="shared" si="40"/>
        <v>26.070065423461962</v>
      </c>
    </row>
    <row r="207" spans="5:31" x14ac:dyDescent="0.25">
      <c r="E207" s="225">
        <v>2.0199999999999999E-2</v>
      </c>
      <c r="F207" s="222">
        <f t="shared" si="39"/>
        <v>20.2</v>
      </c>
      <c r="G207" s="23">
        <f t="shared" si="35"/>
        <v>-70.510099999999994</v>
      </c>
      <c r="H207" s="23">
        <f t="shared" si="37"/>
        <v>-60.510100000000001</v>
      </c>
      <c r="I207" s="23">
        <f t="shared" si="37"/>
        <v>-50.510100000000001</v>
      </c>
      <c r="J207" s="23">
        <f t="shared" si="37"/>
        <v>-40.510100000000001</v>
      </c>
      <c r="K207" s="23">
        <f t="shared" si="37"/>
        <v>-30.510100000000001</v>
      </c>
      <c r="L207" s="23">
        <f t="shared" si="37"/>
        <v>-20.510100000000001</v>
      </c>
      <c r="M207" s="23">
        <f t="shared" si="37"/>
        <v>-10.510100000000001</v>
      </c>
      <c r="N207" s="23">
        <f t="shared" si="37"/>
        <v>-0.51010000000000133</v>
      </c>
      <c r="O207" s="23">
        <f t="shared" si="37"/>
        <v>9.4898999999999987</v>
      </c>
      <c r="P207" s="23">
        <f t="shared" si="37"/>
        <v>19.489899999999999</v>
      </c>
      <c r="Q207" s="23">
        <f t="shared" si="37"/>
        <v>29.489899999999999</v>
      </c>
      <c r="R207" s="23">
        <f t="shared" si="37"/>
        <v>39.489899999999999</v>
      </c>
      <c r="S207" s="23">
        <f t="shared" si="37"/>
        <v>49.489899999999999</v>
      </c>
      <c r="T207" s="23">
        <f t="shared" si="37"/>
        <v>59.489899999999999</v>
      </c>
      <c r="U207" s="23">
        <f t="shared" si="37"/>
        <v>69.489900000000006</v>
      </c>
      <c r="V207" s="220">
        <f t="shared" si="40"/>
        <v>73.550239311357302</v>
      </c>
      <c r="W207" s="220">
        <f t="shared" si="40"/>
        <v>57.579058496792577</v>
      </c>
      <c r="X207" s="220">
        <f t="shared" si="40"/>
        <v>49.002727745080527</v>
      </c>
      <c r="Y207" s="220">
        <f t="shared" si="40"/>
        <v>43.204398870091374</v>
      </c>
      <c r="Z207" s="220">
        <f t="shared" si="40"/>
        <v>38.86068555352599</v>
      </c>
      <c r="AA207" s="220">
        <f t="shared" si="40"/>
        <v>35.406797521965323</v>
      </c>
      <c r="AB207" s="220">
        <f t="shared" si="40"/>
        <v>32.550913020008373</v>
      </c>
      <c r="AC207" s="220">
        <f t="shared" si="40"/>
        <v>30.123229016412061</v>
      </c>
      <c r="AD207" s="220">
        <f t="shared" si="40"/>
        <v>28.016526564829569</v>
      </c>
      <c r="AE207" s="220">
        <f t="shared" si="40"/>
        <v>26.158922896055209</v>
      </c>
    </row>
    <row r="208" spans="5:31" x14ac:dyDescent="0.25">
      <c r="E208" s="225">
        <v>2.0299999999999999E-2</v>
      </c>
      <c r="F208" s="222">
        <f t="shared" si="39"/>
        <v>20.299999999999997</v>
      </c>
      <c r="G208" s="23">
        <f t="shared" si="35"/>
        <v>-70.760149999999996</v>
      </c>
      <c r="H208" s="23">
        <f t="shared" si="37"/>
        <v>-60.760149999999996</v>
      </c>
      <c r="I208" s="23">
        <f t="shared" si="37"/>
        <v>-50.760149999999996</v>
      </c>
      <c r="J208" s="23">
        <f t="shared" si="37"/>
        <v>-40.760149999999996</v>
      </c>
      <c r="K208" s="23">
        <f t="shared" si="37"/>
        <v>-30.760149999999996</v>
      </c>
      <c r="L208" s="23">
        <f t="shared" si="37"/>
        <v>-20.760149999999996</v>
      </c>
      <c r="M208" s="23">
        <f t="shared" si="37"/>
        <v>-10.760149999999996</v>
      </c>
      <c r="N208" s="23">
        <f t="shared" si="37"/>
        <v>-0.76014999999999588</v>
      </c>
      <c r="O208" s="23">
        <f t="shared" si="37"/>
        <v>9.2398500000000041</v>
      </c>
      <c r="P208" s="23">
        <f t="shared" si="37"/>
        <v>19.239850000000004</v>
      </c>
      <c r="Q208" s="23">
        <f t="shared" si="37"/>
        <v>29.239850000000004</v>
      </c>
      <c r="R208" s="23">
        <f t="shared" si="37"/>
        <v>39.239850000000004</v>
      </c>
      <c r="S208" s="23">
        <f t="shared" si="37"/>
        <v>49.239850000000004</v>
      </c>
      <c r="T208" s="23">
        <f t="shared" si="37"/>
        <v>59.239850000000004</v>
      </c>
      <c r="U208" s="23">
        <f t="shared" si="37"/>
        <v>69.239850000000004</v>
      </c>
      <c r="V208" s="220">
        <f t="shared" si="40"/>
        <v>73.67935785621215</v>
      </c>
      <c r="W208" s="220">
        <f t="shared" si="40"/>
        <v>57.693581403639726</v>
      </c>
      <c r="X208" s="220">
        <f t="shared" si="40"/>
        <v>49.109931107251171</v>
      </c>
      <c r="Y208" s="220">
        <f t="shared" si="40"/>
        <v>43.306746894142151</v>
      </c>
      <c r="Z208" s="220">
        <f t="shared" si="40"/>
        <v>38.959445599587283</v>
      </c>
      <c r="AA208" s="220">
        <f t="shared" si="40"/>
        <v>35.502734745447967</v>
      </c>
      <c r="AB208" s="220">
        <f t="shared" si="40"/>
        <v>32.644536331904348</v>
      </c>
      <c r="AC208" s="220">
        <f t="shared" si="40"/>
        <v>30.214899712709823</v>
      </c>
      <c r="AD208" s="220">
        <f t="shared" si="40"/>
        <v>28.106513506848032</v>
      </c>
      <c r="AE208" s="220">
        <f t="shared" si="40"/>
        <v>26.247433415120383</v>
      </c>
    </row>
    <row r="209" spans="5:31" x14ac:dyDescent="0.25">
      <c r="E209" s="225">
        <v>2.0400000000000001E-2</v>
      </c>
      <c r="F209" s="222">
        <f t="shared" si="39"/>
        <v>20.400000000000002</v>
      </c>
      <c r="G209" s="23">
        <f t="shared" si="35"/>
        <v>-71.010199999999998</v>
      </c>
      <c r="H209" s="23">
        <f t="shared" si="37"/>
        <v>-61.010200000000005</v>
      </c>
      <c r="I209" s="23">
        <f t="shared" si="37"/>
        <v>-51.010200000000005</v>
      </c>
      <c r="J209" s="23">
        <f t="shared" si="37"/>
        <v>-41.010200000000005</v>
      </c>
      <c r="K209" s="23">
        <f t="shared" si="37"/>
        <v>-31.010200000000005</v>
      </c>
      <c r="L209" s="23">
        <f t="shared" si="37"/>
        <v>-21.010200000000005</v>
      </c>
      <c r="M209" s="23">
        <f t="shared" si="37"/>
        <v>-11.010200000000005</v>
      </c>
      <c r="N209" s="23">
        <f t="shared" si="37"/>
        <v>-1.0102000000000046</v>
      </c>
      <c r="O209" s="23">
        <f t="shared" si="37"/>
        <v>8.9897999999999954</v>
      </c>
      <c r="P209" s="23">
        <f t="shared" si="37"/>
        <v>18.989799999999995</v>
      </c>
      <c r="Q209" s="23">
        <f t="shared" si="37"/>
        <v>28.989799999999995</v>
      </c>
      <c r="R209" s="23">
        <f t="shared" si="37"/>
        <v>38.989799999999995</v>
      </c>
      <c r="S209" s="23">
        <f t="shared" si="37"/>
        <v>48.989799999999995</v>
      </c>
      <c r="T209" s="23">
        <f t="shared" si="37"/>
        <v>58.989799999999995</v>
      </c>
      <c r="U209" s="23">
        <f t="shared" si="37"/>
        <v>68.989800000000002</v>
      </c>
      <c r="V209" s="220">
        <f t="shared" si="40"/>
        <v>73.808015377674934</v>
      </c>
      <c r="W209" s="220">
        <f t="shared" si="40"/>
        <v>57.807684458013888</v>
      </c>
      <c r="X209" s="220">
        <f t="shared" si="40"/>
        <v>49.216736016662814</v>
      </c>
      <c r="Y209" s="220">
        <f t="shared" si="40"/>
        <v>43.408710679075618</v>
      </c>
      <c r="Z209" s="220">
        <f t="shared" si="40"/>
        <v>39.057831917919195</v>
      </c>
      <c r="AA209" s="220">
        <f t="shared" si="40"/>
        <v>35.598306514932567</v>
      </c>
      <c r="AB209" s="220">
        <f t="shared" si="40"/>
        <v>32.737800974103699</v>
      </c>
      <c r="AC209" s="220">
        <f t="shared" si="40"/>
        <v>30.306217465603403</v>
      </c>
      <c r="AD209" s="220">
        <f t="shared" si="40"/>
        <v>28.196152444082365</v>
      </c>
      <c r="AE209" s="220">
        <f t="shared" si="40"/>
        <v>26.335600260399424</v>
      </c>
    </row>
    <row r="210" spans="5:31" x14ac:dyDescent="0.25">
      <c r="E210" s="225">
        <v>2.0500000000000001E-2</v>
      </c>
      <c r="F210" s="222">
        <f t="shared" si="39"/>
        <v>20.5</v>
      </c>
      <c r="G210" s="23">
        <f t="shared" si="35"/>
        <v>-71.260249999999999</v>
      </c>
      <c r="H210" s="23">
        <f t="shared" si="37"/>
        <v>-61.260249999999999</v>
      </c>
      <c r="I210" s="23">
        <f t="shared" ref="H210:U228" si="41">I$4-$E210*R0()</f>
        <v>-51.260249999999999</v>
      </c>
      <c r="J210" s="23">
        <f t="shared" si="41"/>
        <v>-41.260249999999999</v>
      </c>
      <c r="K210" s="23">
        <f t="shared" si="41"/>
        <v>-31.260249999999999</v>
      </c>
      <c r="L210" s="23">
        <f t="shared" si="41"/>
        <v>-21.260249999999999</v>
      </c>
      <c r="M210" s="23">
        <f t="shared" si="41"/>
        <v>-11.260249999999999</v>
      </c>
      <c r="N210" s="23">
        <f t="shared" si="41"/>
        <v>-1.2602499999999992</v>
      </c>
      <c r="O210" s="23">
        <f t="shared" si="41"/>
        <v>8.7397500000000008</v>
      </c>
      <c r="P210" s="23">
        <f t="shared" si="41"/>
        <v>18.739750000000001</v>
      </c>
      <c r="Q210" s="23">
        <f t="shared" si="41"/>
        <v>28.739750000000001</v>
      </c>
      <c r="R210" s="23">
        <f t="shared" si="41"/>
        <v>38.739750000000001</v>
      </c>
      <c r="S210" s="23">
        <f t="shared" si="41"/>
        <v>48.739750000000001</v>
      </c>
      <c r="T210" s="23">
        <f t="shared" si="41"/>
        <v>58.739750000000001</v>
      </c>
      <c r="U210" s="23">
        <f t="shared" si="41"/>
        <v>68.739750000000001</v>
      </c>
      <c r="V210" s="220">
        <f t="shared" si="40"/>
        <v>73.93621616026941</v>
      </c>
      <c r="W210" s="220">
        <f t="shared" si="40"/>
        <v>57.921371585987998</v>
      </c>
      <c r="X210" s="220">
        <f t="shared" si="40"/>
        <v>49.323146205356238</v>
      </c>
      <c r="Y210" s="220">
        <f t="shared" si="40"/>
        <v>43.510293827792395</v>
      </c>
      <c r="Z210" s="220">
        <f t="shared" si="40"/>
        <v>39.155848015780577</v>
      </c>
      <c r="AA210" s="220">
        <f t="shared" si="40"/>
        <v>35.693516262311761</v>
      </c>
      <c r="AB210" s="220">
        <f t="shared" si="40"/>
        <v>32.83071031664393</v>
      </c>
      <c r="AC210" s="220">
        <f t="shared" si="40"/>
        <v>30.397185592881485</v>
      </c>
      <c r="AD210" s="220">
        <f t="shared" si="40"/>
        <v>28.285446649229769</v>
      </c>
      <c r="AE210" s="220">
        <f t="shared" si="40"/>
        <v>26.423426665023143</v>
      </c>
    </row>
    <row r="211" spans="5:31" x14ac:dyDescent="0.25">
      <c r="E211" s="225">
        <v>2.06E-2</v>
      </c>
      <c r="F211" s="222">
        <f t="shared" si="39"/>
        <v>20.6</v>
      </c>
      <c r="G211" s="23">
        <f t="shared" si="35"/>
        <v>-71.510300000000001</v>
      </c>
      <c r="H211" s="23">
        <f t="shared" si="41"/>
        <v>-61.510300000000001</v>
      </c>
      <c r="I211" s="23">
        <f t="shared" si="41"/>
        <v>-51.510300000000001</v>
      </c>
      <c r="J211" s="23">
        <f t="shared" si="41"/>
        <v>-41.510300000000001</v>
      </c>
      <c r="K211" s="23">
        <f t="shared" si="41"/>
        <v>-31.510300000000001</v>
      </c>
      <c r="L211" s="23">
        <f t="shared" si="41"/>
        <v>-21.510300000000001</v>
      </c>
      <c r="M211" s="23">
        <f t="shared" si="41"/>
        <v>-11.510300000000001</v>
      </c>
      <c r="N211" s="23">
        <f t="shared" si="41"/>
        <v>-1.5103000000000009</v>
      </c>
      <c r="O211" s="23">
        <f t="shared" si="41"/>
        <v>8.4896999999999991</v>
      </c>
      <c r="P211" s="23">
        <f t="shared" si="41"/>
        <v>18.489699999999999</v>
      </c>
      <c r="Q211" s="23">
        <f t="shared" si="41"/>
        <v>28.489699999999999</v>
      </c>
      <c r="R211" s="23">
        <f t="shared" si="41"/>
        <v>38.489699999999999</v>
      </c>
      <c r="S211" s="23">
        <f t="shared" si="41"/>
        <v>48.489699999999999</v>
      </c>
      <c r="T211" s="23">
        <f t="shared" si="41"/>
        <v>58.489699999999999</v>
      </c>
      <c r="U211" s="23">
        <f t="shared" si="41"/>
        <v>68.489699999999999</v>
      </c>
      <c r="V211" s="220">
        <f t="shared" si="40"/>
        <v>74.063964428371946</v>
      </c>
      <c r="W211" s="220">
        <f t="shared" si="40"/>
        <v>58.034646658323453</v>
      </c>
      <c r="X211" s="220">
        <f t="shared" si="40"/>
        <v>49.429165352739091</v>
      </c>
      <c r="Y211" s="220">
        <f t="shared" si="40"/>
        <v>43.611499892344966</v>
      </c>
      <c r="Z211" s="220">
        <f t="shared" si="40"/>
        <v>39.253497350905405</v>
      </c>
      <c r="AA211" s="220">
        <f t="shared" si="40"/>
        <v>35.788367370996781</v>
      </c>
      <c r="AB211" s="220">
        <f t="shared" si="40"/>
        <v>32.923267681937986</v>
      </c>
      <c r="AC211" s="220">
        <f t="shared" si="40"/>
        <v>30.487807365432303</v>
      </c>
      <c r="AD211" s="220">
        <f t="shared" si="40"/>
        <v>28.374399348712274</v>
      </c>
      <c r="AE211" s="220">
        <f t="shared" si="40"/>
        <v>26.510915816395851</v>
      </c>
    </row>
    <row r="212" spans="5:31" x14ac:dyDescent="0.25">
      <c r="E212" s="225">
        <v>2.07E-2</v>
      </c>
      <c r="F212" s="222">
        <f t="shared" si="39"/>
        <v>20.7</v>
      </c>
      <c r="G212" s="23">
        <f t="shared" si="35"/>
        <v>-71.760350000000003</v>
      </c>
      <c r="H212" s="23">
        <f t="shared" si="41"/>
        <v>-61.760350000000003</v>
      </c>
      <c r="I212" s="23">
        <f t="shared" si="41"/>
        <v>-51.760350000000003</v>
      </c>
      <c r="J212" s="23">
        <f t="shared" si="41"/>
        <v>-41.760350000000003</v>
      </c>
      <c r="K212" s="23">
        <f t="shared" si="41"/>
        <v>-31.760350000000003</v>
      </c>
      <c r="L212" s="23">
        <f t="shared" si="41"/>
        <v>-21.760350000000003</v>
      </c>
      <c r="M212" s="23">
        <f t="shared" si="41"/>
        <v>-11.760350000000003</v>
      </c>
      <c r="N212" s="23">
        <f t="shared" si="41"/>
        <v>-1.7603500000000025</v>
      </c>
      <c r="O212" s="23">
        <f t="shared" si="41"/>
        <v>8.2396499999999975</v>
      </c>
      <c r="P212" s="23">
        <f t="shared" si="41"/>
        <v>18.239649999999997</v>
      </c>
      <c r="Q212" s="23">
        <f t="shared" si="41"/>
        <v>28.239649999999997</v>
      </c>
      <c r="R212" s="23">
        <f t="shared" si="41"/>
        <v>38.239649999999997</v>
      </c>
      <c r="S212" s="23">
        <f t="shared" si="41"/>
        <v>48.239649999999997</v>
      </c>
      <c r="T212" s="23">
        <f t="shared" si="41"/>
        <v>58.239649999999997</v>
      </c>
      <c r="U212" s="23">
        <f t="shared" si="41"/>
        <v>68.239649999999997</v>
      </c>
      <c r="V212" s="220">
        <f t="shared" si="40"/>
        <v>74.191264347342212</v>
      </c>
      <c r="W212" s="220">
        <f t="shared" si="40"/>
        <v>58.1475134915122</v>
      </c>
      <c r="X212" s="220">
        <f t="shared" si="40"/>
        <v>49.534797086578308</v>
      </c>
      <c r="Y212" s="220">
        <f t="shared" si="40"/>
        <v>43.712332374896974</v>
      </c>
      <c r="Z212" s="220">
        <f t="shared" si="40"/>
        <v>39.350783332437331</v>
      </c>
      <c r="AA212" s="220">
        <f t="shared" si="40"/>
        <v>35.882863176832601</v>
      </c>
      <c r="AB212" s="220">
        <f t="shared" si="40"/>
        <v>33.015476345673505</v>
      </c>
      <c r="AC212" s="220">
        <f t="shared" si="40"/>
        <v>30.578086008129603</v>
      </c>
      <c r="AD212" s="220">
        <f t="shared" si="40"/>
        <v>28.463013723550901</v>
      </c>
      <c r="AE212" s="220">
        <f t="shared" si="40"/>
        <v>26.598070857059625</v>
      </c>
    </row>
    <row r="213" spans="5:31" x14ac:dyDescent="0.25">
      <c r="E213" s="225">
        <v>2.0799999999999999E-2</v>
      </c>
      <c r="F213" s="222">
        <f t="shared" si="39"/>
        <v>20.8</v>
      </c>
      <c r="G213" s="23">
        <f t="shared" si="35"/>
        <v>-72.010400000000004</v>
      </c>
      <c r="H213" s="23">
        <f t="shared" si="41"/>
        <v>-62.010399999999997</v>
      </c>
      <c r="I213" s="23">
        <f t="shared" si="41"/>
        <v>-52.010399999999997</v>
      </c>
      <c r="J213" s="23">
        <f t="shared" si="41"/>
        <v>-42.010399999999997</v>
      </c>
      <c r="K213" s="23">
        <f t="shared" si="41"/>
        <v>-32.010399999999997</v>
      </c>
      <c r="L213" s="23">
        <f t="shared" si="41"/>
        <v>-22.010399999999997</v>
      </c>
      <c r="M213" s="23">
        <f t="shared" si="41"/>
        <v>-12.010399999999997</v>
      </c>
      <c r="N213" s="23">
        <f t="shared" si="41"/>
        <v>-2.0103999999999971</v>
      </c>
      <c r="O213" s="23">
        <f t="shared" si="41"/>
        <v>7.9896000000000029</v>
      </c>
      <c r="P213" s="23">
        <f t="shared" si="41"/>
        <v>17.989600000000003</v>
      </c>
      <c r="Q213" s="23">
        <f t="shared" si="41"/>
        <v>27.989600000000003</v>
      </c>
      <c r="R213" s="23">
        <f t="shared" si="41"/>
        <v>37.989600000000003</v>
      </c>
      <c r="S213" s="23">
        <f t="shared" si="41"/>
        <v>47.989600000000003</v>
      </c>
      <c r="T213" s="23">
        <f t="shared" si="41"/>
        <v>57.989600000000003</v>
      </c>
      <c r="U213" s="23">
        <f t="shared" si="41"/>
        <v>67.989599999999996</v>
      </c>
      <c r="V213" s="220">
        <f t="shared" si="40"/>
        <v>74.318120024627376</v>
      </c>
      <c r="W213" s="220">
        <f t="shared" si="40"/>
        <v>58.259975848794362</v>
      </c>
      <c r="X213" s="220">
        <f t="shared" si="40"/>
        <v>49.640044983969197</v>
      </c>
      <c r="Y213" s="220">
        <f t="shared" si="40"/>
        <v>43.812794728659817</v>
      </c>
      <c r="Z213" s="220">
        <f t="shared" si="40"/>
        <v>39.447709321842446</v>
      </c>
      <c r="AA213" s="220">
        <f t="shared" si="40"/>
        <v>35.977006968991738</v>
      </c>
      <c r="AB213" s="220">
        <f t="shared" si="40"/>
        <v>33.107339537691054</v>
      </c>
      <c r="AC213" s="220">
        <f t="shared" si="40"/>
        <v>30.668024700697394</v>
      </c>
      <c r="AD213" s="220">
        <f t="shared" si="40"/>
        <v>28.55129291021931</v>
      </c>
      <c r="AE213" s="220">
        <f t="shared" si="40"/>
        <v>26.68489488553768</v>
      </c>
    </row>
    <row r="214" spans="5:31" x14ac:dyDescent="0.25">
      <c r="E214" s="225">
        <v>2.0899999999999998E-2</v>
      </c>
      <c r="F214" s="222">
        <f t="shared" si="39"/>
        <v>20.9</v>
      </c>
      <c r="G214" s="23">
        <f t="shared" si="35"/>
        <v>-72.260449999999992</v>
      </c>
      <c r="H214" s="23">
        <f t="shared" si="41"/>
        <v>-62.260449999999999</v>
      </c>
      <c r="I214" s="23">
        <f t="shared" si="41"/>
        <v>-52.260449999999999</v>
      </c>
      <c r="J214" s="23">
        <f t="shared" si="41"/>
        <v>-42.260449999999999</v>
      </c>
      <c r="K214" s="23">
        <f t="shared" si="41"/>
        <v>-32.260449999999999</v>
      </c>
      <c r="L214" s="23">
        <f t="shared" si="41"/>
        <v>-22.260449999999999</v>
      </c>
      <c r="M214" s="23">
        <f t="shared" si="41"/>
        <v>-12.260449999999999</v>
      </c>
      <c r="N214" s="23">
        <f t="shared" si="41"/>
        <v>-2.2604499999999987</v>
      </c>
      <c r="O214" s="23">
        <f t="shared" si="41"/>
        <v>7.7395500000000013</v>
      </c>
      <c r="P214" s="23">
        <f t="shared" si="41"/>
        <v>17.739550000000001</v>
      </c>
      <c r="Q214" s="23">
        <f t="shared" si="41"/>
        <v>27.739550000000001</v>
      </c>
      <c r="R214" s="23">
        <f t="shared" si="41"/>
        <v>37.739550000000001</v>
      </c>
      <c r="S214" s="23">
        <f t="shared" si="41"/>
        <v>47.739550000000001</v>
      </c>
      <c r="T214" s="23">
        <f t="shared" si="41"/>
        <v>57.739550000000001</v>
      </c>
      <c r="U214" s="23">
        <f t="shared" si="41"/>
        <v>67.739550000000008</v>
      </c>
      <c r="V214" s="220">
        <f t="shared" si="40"/>
        <v>74.44453551084041</v>
      </c>
      <c r="W214" s="220">
        <f t="shared" si="40"/>
        <v>58.372037441151896</v>
      </c>
      <c r="X214" s="220">
        <f t="shared" si="40"/>
        <v>49.744912572281599</v>
      </c>
      <c r="Y214" s="220">
        <f t="shared" si="40"/>
        <v>43.912890358807267</v>
      </c>
      <c r="Z214" s="220">
        <f t="shared" si="40"/>
        <v>39.544278633800296</v>
      </c>
      <c r="AA214" s="220">
        <f t="shared" si="40"/>
        <v>36.070801990846668</v>
      </c>
      <c r="AB214" s="220">
        <f t="shared" si="40"/>
        <v>33.198860442841287</v>
      </c>
      <c r="AC214" s="220">
        <f t="shared" si="40"/>
        <v>30.7576265785546</v>
      </c>
      <c r="AD214" s="220">
        <f t="shared" si="40"/>
        <v>28.639240001477013</v>
      </c>
      <c r="AE214" s="220">
        <f t="shared" si="40"/>
        <v>26.771390957158069</v>
      </c>
    </row>
    <row r="215" spans="5:31" x14ac:dyDescent="0.25">
      <c r="E215" s="225">
        <v>2.1000000000000001E-2</v>
      </c>
      <c r="F215" s="222">
        <f t="shared" si="39"/>
        <v>21</v>
      </c>
      <c r="G215" s="23">
        <f t="shared" si="35"/>
        <v>-72.510500000000008</v>
      </c>
      <c r="H215" s="23">
        <f t="shared" si="41"/>
        <v>-62.5105</v>
      </c>
      <c r="I215" s="23">
        <f t="shared" si="41"/>
        <v>-52.5105</v>
      </c>
      <c r="J215" s="23">
        <f t="shared" si="41"/>
        <v>-42.5105</v>
      </c>
      <c r="K215" s="23">
        <f t="shared" si="41"/>
        <v>-32.5105</v>
      </c>
      <c r="L215" s="23">
        <f t="shared" si="41"/>
        <v>-22.5105</v>
      </c>
      <c r="M215" s="23">
        <f t="shared" si="41"/>
        <v>-12.5105</v>
      </c>
      <c r="N215" s="23">
        <f t="shared" si="41"/>
        <v>-2.5105000000000004</v>
      </c>
      <c r="O215" s="23">
        <f t="shared" si="41"/>
        <v>7.4894999999999996</v>
      </c>
      <c r="P215" s="23">
        <f t="shared" si="41"/>
        <v>17.4895</v>
      </c>
      <c r="Q215" s="23">
        <f t="shared" si="41"/>
        <v>27.4895</v>
      </c>
      <c r="R215" s="23">
        <f t="shared" si="41"/>
        <v>37.4895</v>
      </c>
      <c r="S215" s="23">
        <f t="shared" si="41"/>
        <v>47.4895</v>
      </c>
      <c r="T215" s="23">
        <f t="shared" si="41"/>
        <v>57.4895</v>
      </c>
      <c r="U215" s="23">
        <f t="shared" si="41"/>
        <v>67.489499999999992</v>
      </c>
      <c r="V215" s="220">
        <f t="shared" si="40"/>
        <v>74.570514800813271</v>
      </c>
      <c r="W215" s="220">
        <f t="shared" si="40"/>
        <v>58.483701928279153</v>
      </c>
      <c r="X215" s="220">
        <f t="shared" si="40"/>
        <v>49.849403330084108</v>
      </c>
      <c r="Y215" s="220">
        <f t="shared" si="40"/>
        <v>44.012622623368848</v>
      </c>
      <c r="Z215" s="220">
        <f t="shared" si="40"/>
        <v>39.640494537074296</v>
      </c>
      <c r="AA215" s="220">
        <f t="shared" si="40"/>
        <v>36.164251440822262</v>
      </c>
      <c r="AB215" s="220">
        <f t="shared" si="40"/>
        <v>33.290042201822622</v>
      </c>
      <c r="AC215" s="220">
        <f t="shared" si="40"/>
        <v>30.846894733639893</v>
      </c>
      <c r="AD215" s="220">
        <f t="shared" si="40"/>
        <v>28.726858047183676</v>
      </c>
      <c r="AE215" s="220">
        <f t="shared" si="40"/>
        <v>26.857562084858138</v>
      </c>
    </row>
    <row r="216" spans="5:31" x14ac:dyDescent="0.25">
      <c r="E216" s="225">
        <v>2.1100000000000001E-2</v>
      </c>
      <c r="F216" s="222">
        <f t="shared" si="39"/>
        <v>21.1</v>
      </c>
      <c r="G216" s="23">
        <f t="shared" si="35"/>
        <v>-72.760549999999995</v>
      </c>
      <c r="H216" s="23">
        <f t="shared" si="41"/>
        <v>-62.760550000000002</v>
      </c>
      <c r="I216" s="23">
        <f t="shared" si="41"/>
        <v>-52.760550000000002</v>
      </c>
      <c r="J216" s="23">
        <f t="shared" si="41"/>
        <v>-42.760550000000002</v>
      </c>
      <c r="K216" s="23">
        <f t="shared" si="41"/>
        <v>-32.760550000000002</v>
      </c>
      <c r="L216" s="23">
        <f t="shared" si="41"/>
        <v>-22.760550000000002</v>
      </c>
      <c r="M216" s="23">
        <f t="shared" si="41"/>
        <v>-12.760550000000002</v>
      </c>
      <c r="N216" s="23">
        <f t="shared" si="41"/>
        <v>-2.7605500000000021</v>
      </c>
      <c r="O216" s="23">
        <f t="shared" si="41"/>
        <v>7.2394499999999979</v>
      </c>
      <c r="P216" s="23">
        <f t="shared" si="41"/>
        <v>17.239449999999998</v>
      </c>
      <c r="Q216" s="23">
        <f t="shared" si="41"/>
        <v>27.239449999999998</v>
      </c>
      <c r="R216" s="23">
        <f t="shared" si="41"/>
        <v>37.239449999999998</v>
      </c>
      <c r="S216" s="23">
        <f t="shared" si="41"/>
        <v>47.239449999999998</v>
      </c>
      <c r="T216" s="23">
        <f t="shared" si="41"/>
        <v>57.239449999999998</v>
      </c>
      <c r="U216" s="23">
        <f t="shared" si="41"/>
        <v>67.239450000000005</v>
      </c>
      <c r="V216" s="220">
        <f t="shared" ref="V216:AE225" si="42">Enthalpie_p_phi_x(hx_druck,V$4,$E216)-$E216*R0()</f>
        <v>74.696061834625539</v>
      </c>
      <c r="W216" s="220">
        <f t="shared" si="42"/>
        <v>58.594972919530868</v>
      </c>
      <c r="X216" s="220">
        <f t="shared" si="42"/>
        <v>49.953520688046886</v>
      </c>
      <c r="Y216" s="220">
        <f t="shared" si="42"/>
        <v>44.11199483410217</v>
      </c>
      <c r="Z216" s="220">
        <f t="shared" si="42"/>
        <v>39.736360255361824</v>
      </c>
      <c r="AA216" s="220">
        <f t="shared" si="42"/>
        <v>36.257358473228145</v>
      </c>
      <c r="AB216" s="220">
        <f t="shared" si="42"/>
        <v>33.38088791199889</v>
      </c>
      <c r="AC216" s="220">
        <f t="shared" si="42"/>
        <v>30.935832215217253</v>
      </c>
      <c r="AD216" s="220">
        <f t="shared" si="42"/>
        <v>28.814150055093869</v>
      </c>
      <c r="AE216" s="220">
        <f t="shared" si="42"/>
        <v>26.943411239970366</v>
      </c>
    </row>
    <row r="217" spans="5:31" x14ac:dyDescent="0.25">
      <c r="E217" s="225">
        <v>2.12E-2</v>
      </c>
      <c r="F217" s="222">
        <f t="shared" si="39"/>
        <v>21.2</v>
      </c>
      <c r="G217" s="23">
        <f t="shared" si="35"/>
        <v>-73.010600000000011</v>
      </c>
      <c r="H217" s="23">
        <f t="shared" si="41"/>
        <v>-63.010600000000004</v>
      </c>
      <c r="I217" s="23">
        <f t="shared" si="41"/>
        <v>-53.010600000000004</v>
      </c>
      <c r="J217" s="23">
        <f t="shared" si="41"/>
        <v>-43.010600000000004</v>
      </c>
      <c r="K217" s="23">
        <f t="shared" si="41"/>
        <v>-33.010600000000004</v>
      </c>
      <c r="L217" s="23">
        <f t="shared" si="41"/>
        <v>-23.010600000000004</v>
      </c>
      <c r="M217" s="23">
        <f t="shared" si="41"/>
        <v>-13.010600000000004</v>
      </c>
      <c r="N217" s="23">
        <f t="shared" si="41"/>
        <v>-3.0106000000000037</v>
      </c>
      <c r="O217" s="23">
        <f t="shared" si="41"/>
        <v>6.9893999999999963</v>
      </c>
      <c r="P217" s="23">
        <f t="shared" si="41"/>
        <v>16.989399999999996</v>
      </c>
      <c r="Q217" s="23">
        <f t="shared" si="41"/>
        <v>26.989399999999996</v>
      </c>
      <c r="R217" s="23">
        <f t="shared" si="41"/>
        <v>36.989399999999996</v>
      </c>
      <c r="S217" s="23">
        <f t="shared" si="41"/>
        <v>46.989399999999996</v>
      </c>
      <c r="T217" s="23">
        <f t="shared" si="41"/>
        <v>56.989399999999996</v>
      </c>
      <c r="U217" s="23">
        <f t="shared" si="41"/>
        <v>66.989399999999989</v>
      </c>
      <c r="V217" s="220">
        <f t="shared" si="42"/>
        <v>74.82118049860955</v>
      </c>
      <c r="W217" s="220">
        <f t="shared" si="42"/>
        <v>58.705853974848232</v>
      </c>
      <c r="X217" s="220">
        <f t="shared" si="42"/>
        <v>50.057268029823298</v>
      </c>
      <c r="Y217" s="220">
        <f t="shared" si="42"/>
        <v>44.211010257345329</v>
      </c>
      <c r="Z217" s="220">
        <f t="shared" si="42"/>
        <v>39.83187896812462</v>
      </c>
      <c r="AA217" s="220">
        <f t="shared" si="42"/>
        <v>36.350126199071859</v>
      </c>
      <c r="AB217" s="220">
        <f t="shared" si="42"/>
        <v>33.471400628198531</v>
      </c>
      <c r="AC217" s="220">
        <f t="shared" si="42"/>
        <v>31.024442030663074</v>
      </c>
      <c r="AD217" s="220">
        <f t="shared" si="42"/>
        <v>28.901118991633858</v>
      </c>
      <c r="AE217" s="220">
        <f t="shared" si="42"/>
        <v>27.02894135298974</v>
      </c>
    </row>
    <row r="218" spans="5:31" x14ac:dyDescent="0.25">
      <c r="E218" s="225">
        <v>2.1299999999999999E-2</v>
      </c>
      <c r="F218" s="222">
        <f t="shared" si="39"/>
        <v>21.3</v>
      </c>
      <c r="G218" s="23">
        <f t="shared" si="35"/>
        <v>-73.260649999999998</v>
      </c>
      <c r="H218" s="23">
        <f t="shared" si="41"/>
        <v>-63.260649999999998</v>
      </c>
      <c r="I218" s="23">
        <f t="shared" si="41"/>
        <v>-53.260649999999998</v>
      </c>
      <c r="J218" s="23">
        <f t="shared" si="41"/>
        <v>-43.260649999999998</v>
      </c>
      <c r="K218" s="23">
        <f t="shared" si="41"/>
        <v>-33.260649999999998</v>
      </c>
      <c r="L218" s="23">
        <f t="shared" si="41"/>
        <v>-23.260649999999998</v>
      </c>
      <c r="M218" s="23">
        <f t="shared" si="41"/>
        <v>-13.260649999999998</v>
      </c>
      <c r="N218" s="23">
        <f t="shared" si="41"/>
        <v>-3.2606499999999983</v>
      </c>
      <c r="O218" s="23">
        <f t="shared" si="41"/>
        <v>6.7393500000000017</v>
      </c>
      <c r="P218" s="23">
        <f t="shared" si="41"/>
        <v>16.739350000000002</v>
      </c>
      <c r="Q218" s="23">
        <f t="shared" si="41"/>
        <v>26.739350000000002</v>
      </c>
      <c r="R218" s="23">
        <f t="shared" si="41"/>
        <v>36.739350000000002</v>
      </c>
      <c r="S218" s="23">
        <f t="shared" si="41"/>
        <v>46.739350000000002</v>
      </c>
      <c r="T218" s="23">
        <f t="shared" si="41"/>
        <v>56.739350000000002</v>
      </c>
      <c r="U218" s="23">
        <f t="shared" si="41"/>
        <v>66.739350000000002</v>
      </c>
      <c r="V218" s="220">
        <f t="shared" si="42"/>
        <v>74.945874626332341</v>
      </c>
      <c r="W218" s="220">
        <f t="shared" si="42"/>
        <v>58.816348605663563</v>
      </c>
      <c r="X218" s="220">
        <f t="shared" si="42"/>
        <v>50.160648692911593</v>
      </c>
      <c r="Y218" s="220">
        <f t="shared" si="42"/>
        <v>44.309672114849675</v>
      </c>
      <c r="Z218" s="220">
        <f t="shared" si="42"/>
        <v>39.927053811400157</v>
      </c>
      <c r="AA218" s="220">
        <f t="shared" si="42"/>
        <v>36.442557686853277</v>
      </c>
      <c r="AB218" s="220">
        <f t="shared" si="42"/>
        <v>33.561583363495004</v>
      </c>
      <c r="AC218" s="220">
        <f t="shared" si="42"/>
        <v>31.11272714623486</v>
      </c>
      <c r="AD218" s="220">
        <f t="shared" si="42"/>
        <v>28.987767782660228</v>
      </c>
      <c r="AE218" s="220">
        <f t="shared" si="42"/>
        <v>27.114155314323725</v>
      </c>
    </row>
    <row r="219" spans="5:31" x14ac:dyDescent="0.25">
      <c r="E219" s="225">
        <v>2.1399999999999999E-2</v>
      </c>
      <c r="F219" s="222">
        <f t="shared" si="39"/>
        <v>21.4</v>
      </c>
      <c r="G219" s="23">
        <f t="shared" si="35"/>
        <v>-73.5107</v>
      </c>
      <c r="H219" s="23">
        <f t="shared" si="41"/>
        <v>-63.5107</v>
      </c>
      <c r="I219" s="23">
        <f t="shared" si="41"/>
        <v>-53.5107</v>
      </c>
      <c r="J219" s="23">
        <f t="shared" si="41"/>
        <v>-43.5107</v>
      </c>
      <c r="K219" s="23">
        <f t="shared" si="41"/>
        <v>-33.5107</v>
      </c>
      <c r="L219" s="23">
        <f t="shared" si="41"/>
        <v>-23.5107</v>
      </c>
      <c r="M219" s="23">
        <f t="shared" si="41"/>
        <v>-13.5107</v>
      </c>
      <c r="N219" s="23">
        <f t="shared" si="41"/>
        <v>-3.5106999999999999</v>
      </c>
      <c r="O219" s="23">
        <f t="shared" si="41"/>
        <v>6.4893000000000001</v>
      </c>
      <c r="P219" s="23">
        <f t="shared" si="41"/>
        <v>16.4893</v>
      </c>
      <c r="Q219" s="23">
        <f t="shared" si="41"/>
        <v>26.4893</v>
      </c>
      <c r="R219" s="23">
        <f t="shared" si="41"/>
        <v>36.4893</v>
      </c>
      <c r="S219" s="23">
        <f t="shared" si="41"/>
        <v>46.4893</v>
      </c>
      <c r="T219" s="23">
        <f t="shared" si="41"/>
        <v>56.4893</v>
      </c>
      <c r="U219" s="23">
        <f t="shared" si="41"/>
        <v>66.4893</v>
      </c>
      <c r="V219" s="220">
        <f t="shared" si="42"/>
        <v>75.070147999555033</v>
      </c>
      <c r="W219" s="220">
        <f t="shared" si="42"/>
        <v>58.926460275784436</v>
      </c>
      <c r="X219" s="220">
        <f t="shared" si="42"/>
        <v>50.263665969496586</v>
      </c>
      <c r="Y219" s="220">
        <f t="shared" si="42"/>
        <v>44.407983584593225</v>
      </c>
      <c r="Z219" s="220">
        <f t="shared" si="42"/>
        <v>40.0218878785942</v>
      </c>
      <c r="AA219" s="220">
        <f t="shared" si="42"/>
        <v>36.534655963340796</v>
      </c>
      <c r="AB219" s="220">
        <f t="shared" si="42"/>
        <v>33.651439089969472</v>
      </c>
      <c r="AC219" s="220">
        <f t="shared" si="42"/>
        <v>31.200690487822499</v>
      </c>
      <c r="AD219" s="220">
        <f t="shared" si="42"/>
        <v>29.074099314201248</v>
      </c>
      <c r="AE219" s="220">
        <f t="shared" si="42"/>
        <v>27.199055975024862</v>
      </c>
    </row>
    <row r="220" spans="5:31" x14ac:dyDescent="0.25">
      <c r="E220" s="225">
        <v>2.1499999999999998E-2</v>
      </c>
      <c r="F220" s="222">
        <f t="shared" si="39"/>
        <v>21.5</v>
      </c>
      <c r="G220" s="23">
        <f t="shared" si="35"/>
        <v>-73.760750000000002</v>
      </c>
      <c r="H220" s="23">
        <f t="shared" si="41"/>
        <v>-63.760749999999994</v>
      </c>
      <c r="I220" s="23">
        <f t="shared" si="41"/>
        <v>-53.760749999999994</v>
      </c>
      <c r="J220" s="23">
        <f t="shared" si="41"/>
        <v>-43.760749999999994</v>
      </c>
      <c r="K220" s="23">
        <f t="shared" si="41"/>
        <v>-33.760749999999994</v>
      </c>
      <c r="L220" s="23">
        <f t="shared" si="41"/>
        <v>-23.760749999999994</v>
      </c>
      <c r="M220" s="23">
        <f t="shared" si="41"/>
        <v>-13.760749999999994</v>
      </c>
      <c r="N220" s="23">
        <f t="shared" si="41"/>
        <v>-3.7607499999999945</v>
      </c>
      <c r="O220" s="23">
        <f t="shared" si="41"/>
        <v>6.2392500000000055</v>
      </c>
      <c r="P220" s="23">
        <f t="shared" si="41"/>
        <v>16.239250000000006</v>
      </c>
      <c r="Q220" s="23">
        <f t="shared" si="41"/>
        <v>26.239250000000006</v>
      </c>
      <c r="R220" s="23">
        <f t="shared" si="41"/>
        <v>36.239250000000006</v>
      </c>
      <c r="S220" s="23">
        <f t="shared" si="41"/>
        <v>46.239250000000006</v>
      </c>
      <c r="T220" s="23">
        <f t="shared" si="41"/>
        <v>56.239250000000006</v>
      </c>
      <c r="U220" s="23">
        <f t="shared" si="41"/>
        <v>66.239249999999998</v>
      </c>
      <c r="V220" s="220">
        <f t="shared" si="42"/>
        <v>75.1940043491702</v>
      </c>
      <c r="W220" s="220">
        <f t="shared" si="42"/>
        <v>59.036192402257605</v>
      </c>
      <c r="X220" s="220">
        <f t="shared" si="42"/>
        <v>50.366323107272301</v>
      </c>
      <c r="Y220" s="220">
        <f t="shared" si="42"/>
        <v>44.50594780157585</v>
      </c>
      <c r="Z220" s="220">
        <f t="shared" si="42"/>
        <v>40.116384221255522</v>
      </c>
      <c r="AA220" s="220">
        <f t="shared" si="42"/>
        <v>36.626424014329821</v>
      </c>
      <c r="AB220" s="220">
        <f t="shared" si="42"/>
        <v>33.740970739456067</v>
      </c>
      <c r="AC220" s="220">
        <f t="shared" si="42"/>
        <v>31.288334941682272</v>
      </c>
      <c r="AD220" s="220">
        <f t="shared" si="42"/>
        <v>29.160116433181194</v>
      </c>
      <c r="AE220" s="220">
        <f t="shared" si="42"/>
        <v>27.283646147506353</v>
      </c>
    </row>
    <row r="221" spans="5:31" x14ac:dyDescent="0.25">
      <c r="E221" s="225">
        <v>2.1600000000000001E-2</v>
      </c>
      <c r="F221" s="222">
        <f t="shared" si="39"/>
        <v>21.6</v>
      </c>
      <c r="G221" s="23">
        <f t="shared" si="35"/>
        <v>-74.010800000000003</v>
      </c>
      <c r="H221" s="23">
        <f t="shared" si="41"/>
        <v>-64.010800000000003</v>
      </c>
      <c r="I221" s="23">
        <f t="shared" si="41"/>
        <v>-54.010800000000003</v>
      </c>
      <c r="J221" s="23">
        <f t="shared" si="41"/>
        <v>-44.010800000000003</v>
      </c>
      <c r="K221" s="23">
        <f t="shared" si="41"/>
        <v>-34.010800000000003</v>
      </c>
      <c r="L221" s="23">
        <f t="shared" si="41"/>
        <v>-24.010800000000003</v>
      </c>
      <c r="M221" s="23">
        <f t="shared" si="41"/>
        <v>-14.010800000000003</v>
      </c>
      <c r="N221" s="23">
        <f t="shared" si="41"/>
        <v>-4.0108000000000033</v>
      </c>
      <c r="O221" s="23">
        <f t="shared" si="41"/>
        <v>5.9891999999999967</v>
      </c>
      <c r="P221" s="23">
        <f t="shared" si="41"/>
        <v>15.989199999999997</v>
      </c>
      <c r="Q221" s="23">
        <f t="shared" si="41"/>
        <v>25.989199999999997</v>
      </c>
      <c r="R221" s="23">
        <f t="shared" si="41"/>
        <v>35.989199999999997</v>
      </c>
      <c r="S221" s="23">
        <f t="shared" si="41"/>
        <v>45.989199999999997</v>
      </c>
      <c r="T221" s="23">
        <f t="shared" si="41"/>
        <v>55.989199999999997</v>
      </c>
      <c r="U221" s="23">
        <f t="shared" si="41"/>
        <v>65.989199999999997</v>
      </c>
      <c r="V221" s="220">
        <f t="shared" si="42"/>
        <v>75.317447356118791</v>
      </c>
      <c r="W221" s="220">
        <f t="shared" si="42"/>
        <v>59.145548356213126</v>
      </c>
      <c r="X221" s="220">
        <f t="shared" si="42"/>
        <v>50.468623310245817</v>
      </c>
      <c r="Y221" s="220">
        <f t="shared" si="42"/>
        <v>44.603567858596151</v>
      </c>
      <c r="Z221" s="220">
        <f t="shared" si="42"/>
        <v>40.210545849832855</v>
      </c>
      <c r="AA221" s="220">
        <f t="shared" si="42"/>
        <v>36.717864785384023</v>
      </c>
      <c r="AB221" s="220">
        <f t="shared" si="42"/>
        <v>33.830181204270119</v>
      </c>
      <c r="AC221" s="220">
        <f t="shared" si="42"/>
        <v>31.375663355154202</v>
      </c>
      <c r="AD221" s="220">
        <f t="shared" si="42"/>
        <v>29.245821948128238</v>
      </c>
      <c r="AE221" s="220">
        <f t="shared" si="42"/>
        <v>27.36792860624216</v>
      </c>
    </row>
    <row r="222" spans="5:31" x14ac:dyDescent="0.25">
      <c r="E222" s="225">
        <v>2.1700000000000001E-2</v>
      </c>
      <c r="F222" s="222">
        <f t="shared" si="39"/>
        <v>21.7</v>
      </c>
      <c r="G222" s="23">
        <f t="shared" si="35"/>
        <v>-74.260850000000005</v>
      </c>
      <c r="H222" s="23">
        <f t="shared" si="41"/>
        <v>-64.260850000000005</v>
      </c>
      <c r="I222" s="23">
        <f t="shared" si="41"/>
        <v>-54.260849999999998</v>
      </c>
      <c r="J222" s="23">
        <f t="shared" si="41"/>
        <v>-44.260849999999998</v>
      </c>
      <c r="K222" s="23">
        <f t="shared" si="41"/>
        <v>-34.260849999999998</v>
      </c>
      <c r="L222" s="23">
        <f t="shared" si="41"/>
        <v>-24.260849999999998</v>
      </c>
      <c r="M222" s="23">
        <f t="shared" si="41"/>
        <v>-14.260849999999998</v>
      </c>
      <c r="N222" s="23">
        <f t="shared" si="41"/>
        <v>-4.2608499999999978</v>
      </c>
      <c r="O222" s="23">
        <f t="shared" si="41"/>
        <v>5.7391500000000022</v>
      </c>
      <c r="P222" s="23">
        <f t="shared" si="41"/>
        <v>15.739150000000002</v>
      </c>
      <c r="Q222" s="23">
        <f t="shared" si="41"/>
        <v>25.739150000000002</v>
      </c>
      <c r="R222" s="23">
        <f t="shared" si="41"/>
        <v>35.739150000000002</v>
      </c>
      <c r="S222" s="23">
        <f t="shared" si="41"/>
        <v>45.739150000000002</v>
      </c>
      <c r="T222" s="23">
        <f t="shared" si="41"/>
        <v>55.739150000000002</v>
      </c>
      <c r="U222" s="23">
        <f t="shared" si="41"/>
        <v>65.739149999999995</v>
      </c>
      <c r="V222" s="220">
        <f t="shared" si="42"/>
        <v>75.440480652285316</v>
      </c>
      <c r="W222" s="220">
        <f t="shared" si="42"/>
        <v>59.254531463689737</v>
      </c>
      <c r="X222" s="220">
        <f t="shared" si="42"/>
        <v>50.570569739523059</v>
      </c>
      <c r="Y222" s="220">
        <f t="shared" si="42"/>
        <v>44.700846807010926</v>
      </c>
      <c r="Z222" s="220">
        <f t="shared" si="42"/>
        <v>40.304375734414684</v>
      </c>
      <c r="AA222" s="220">
        <f t="shared" si="42"/>
        <v>36.808981182559755</v>
      </c>
      <c r="AB222" s="220">
        <f t="shared" si="42"/>
        <v>33.919073337920004</v>
      </c>
      <c r="AC222" s="220">
        <f t="shared" si="42"/>
        <v>31.462678537363196</v>
      </c>
      <c r="AD222" s="220">
        <f t="shared" si="42"/>
        <v>29.331218629866378</v>
      </c>
      <c r="AE222" s="220">
        <f t="shared" si="42"/>
        <v>27.451906088450265</v>
      </c>
    </row>
    <row r="223" spans="5:31" x14ac:dyDescent="0.25">
      <c r="E223" s="225">
        <v>2.18E-2</v>
      </c>
      <c r="F223" s="222">
        <f t="shared" si="39"/>
        <v>21.8</v>
      </c>
      <c r="G223" s="23">
        <f t="shared" si="35"/>
        <v>-74.510899999999992</v>
      </c>
      <c r="H223" s="23">
        <f t="shared" si="41"/>
        <v>-64.510899999999992</v>
      </c>
      <c r="I223" s="23">
        <f t="shared" si="41"/>
        <v>-54.510899999999999</v>
      </c>
      <c r="J223" s="23">
        <f t="shared" si="41"/>
        <v>-44.510899999999999</v>
      </c>
      <c r="K223" s="23">
        <f t="shared" si="41"/>
        <v>-34.510899999999999</v>
      </c>
      <c r="L223" s="23">
        <f t="shared" si="41"/>
        <v>-24.510899999999999</v>
      </c>
      <c r="M223" s="23">
        <f t="shared" si="41"/>
        <v>-14.510899999999999</v>
      </c>
      <c r="N223" s="23">
        <f t="shared" si="41"/>
        <v>-4.5108999999999995</v>
      </c>
      <c r="O223" s="23">
        <f t="shared" si="41"/>
        <v>5.4891000000000005</v>
      </c>
      <c r="P223" s="23">
        <f t="shared" si="41"/>
        <v>15.489100000000001</v>
      </c>
      <c r="Q223" s="23">
        <f t="shared" si="41"/>
        <v>25.489100000000001</v>
      </c>
      <c r="R223" s="23">
        <f t="shared" si="41"/>
        <v>35.489100000000001</v>
      </c>
      <c r="S223" s="23">
        <f t="shared" si="41"/>
        <v>45.489100000000001</v>
      </c>
      <c r="T223" s="23">
        <f t="shared" si="41"/>
        <v>55.489100000000001</v>
      </c>
      <c r="U223" s="23">
        <f t="shared" si="41"/>
        <v>65.489100000000008</v>
      </c>
      <c r="V223" s="220">
        <f t="shared" si="42"/>
        <v>75.563107821373706</v>
      </c>
      <c r="W223" s="220">
        <f t="shared" si="42"/>
        <v>59.363145006441407</v>
      </c>
      <c r="X223" s="220">
        <f t="shared" si="42"/>
        <v>50.672165514076831</v>
      </c>
      <c r="Y223" s="220">
        <f t="shared" si="42"/>
        <v>44.797787657477436</v>
      </c>
      <c r="Z223" s="220">
        <f t="shared" si="42"/>
        <v>40.397876805452675</v>
      </c>
      <c r="AA223" s="220">
        <f t="shared" si="42"/>
        <v>36.899776073114246</v>
      </c>
      <c r="AB223" s="220">
        <f t="shared" si="42"/>
        <v>34.007649955802954</v>
      </c>
      <c r="AC223" s="220">
        <f t="shared" si="42"/>
        <v>31.549383259904339</v>
      </c>
      <c r="AD223" s="220">
        <f t="shared" si="42"/>
        <v>29.41630921219167</v>
      </c>
      <c r="AE223" s="220">
        <f t="shared" si="42"/>
        <v>27.53558129476135</v>
      </c>
    </row>
    <row r="224" spans="5:31" x14ac:dyDescent="0.25">
      <c r="E224" s="225">
        <v>2.1899999999999999E-2</v>
      </c>
      <c r="F224" s="222">
        <f t="shared" si="39"/>
        <v>21.9</v>
      </c>
      <c r="G224" s="23">
        <f t="shared" si="35"/>
        <v>-74.760950000000008</v>
      </c>
      <c r="H224" s="23">
        <f t="shared" si="41"/>
        <v>-64.760950000000008</v>
      </c>
      <c r="I224" s="23">
        <f t="shared" si="41"/>
        <v>-54.760950000000001</v>
      </c>
      <c r="J224" s="23">
        <f t="shared" si="41"/>
        <v>-44.760950000000001</v>
      </c>
      <c r="K224" s="23">
        <f t="shared" si="41"/>
        <v>-34.760950000000001</v>
      </c>
      <c r="L224" s="23">
        <f t="shared" si="41"/>
        <v>-24.760950000000001</v>
      </c>
      <c r="M224" s="23">
        <f t="shared" si="41"/>
        <v>-14.760950000000001</v>
      </c>
      <c r="N224" s="23">
        <f t="shared" si="41"/>
        <v>-4.7609500000000011</v>
      </c>
      <c r="O224" s="23">
        <f t="shared" si="41"/>
        <v>5.2390499999999989</v>
      </c>
      <c r="P224" s="23">
        <f t="shared" si="41"/>
        <v>15.239049999999999</v>
      </c>
      <c r="Q224" s="23">
        <f t="shared" si="41"/>
        <v>25.239049999999999</v>
      </c>
      <c r="R224" s="23">
        <f t="shared" si="41"/>
        <v>35.239049999999999</v>
      </c>
      <c r="S224" s="23">
        <f t="shared" si="41"/>
        <v>45.239049999999999</v>
      </c>
      <c r="T224" s="23">
        <f t="shared" si="41"/>
        <v>55.239049999999999</v>
      </c>
      <c r="U224" s="23">
        <f t="shared" si="41"/>
        <v>65.239049999999992</v>
      </c>
      <c r="V224" s="220">
        <f t="shared" si="42"/>
        <v>75.685332399763269</v>
      </c>
      <c r="W224" s="220">
        <f t="shared" si="42"/>
        <v>59.471392222726074</v>
      </c>
      <c r="X224" s="220">
        <f t="shared" si="42"/>
        <v>50.773413711497703</v>
      </c>
      <c r="Y224" s="220">
        <f t="shared" si="42"/>
        <v>44.894393380679197</v>
      </c>
      <c r="Z224" s="220">
        <f t="shared" si="42"/>
        <v>40.491051954468553</v>
      </c>
      <c r="AA224" s="220">
        <f t="shared" si="42"/>
        <v>36.990252286197979</v>
      </c>
      <c r="AB224" s="220">
        <f t="shared" si="42"/>
        <v>34.095913835885234</v>
      </c>
      <c r="AC224" s="220">
        <f t="shared" si="42"/>
        <v>31.63578025751287</v>
      </c>
      <c r="AD224" s="220">
        <f t="shared" si="42"/>
        <v>29.501096392533448</v>
      </c>
      <c r="AE224" s="220">
        <f t="shared" si="42"/>
        <v>27.618956889872429</v>
      </c>
    </row>
    <row r="225" spans="5:31" x14ac:dyDescent="0.25">
      <c r="E225" s="225">
        <v>2.1999999999999999E-2</v>
      </c>
      <c r="F225" s="222">
        <f t="shared" si="39"/>
        <v>22</v>
      </c>
      <c r="G225" s="23">
        <f t="shared" si="35"/>
        <v>-75.010999999999996</v>
      </c>
      <c r="H225" s="23">
        <f t="shared" si="41"/>
        <v>-65.010999999999996</v>
      </c>
      <c r="I225" s="23">
        <f t="shared" si="41"/>
        <v>-55.010999999999996</v>
      </c>
      <c r="J225" s="23">
        <f t="shared" si="41"/>
        <v>-45.010999999999996</v>
      </c>
      <c r="K225" s="23">
        <f t="shared" si="41"/>
        <v>-35.010999999999996</v>
      </c>
      <c r="L225" s="23">
        <f t="shared" si="41"/>
        <v>-25.010999999999996</v>
      </c>
      <c r="M225" s="23">
        <f t="shared" si="41"/>
        <v>-15.010999999999996</v>
      </c>
      <c r="N225" s="23">
        <f t="shared" si="41"/>
        <v>-5.0109999999999957</v>
      </c>
      <c r="O225" s="23">
        <f t="shared" si="41"/>
        <v>4.9890000000000043</v>
      </c>
      <c r="P225" s="23">
        <f t="shared" si="41"/>
        <v>14.989000000000004</v>
      </c>
      <c r="Q225" s="23">
        <f t="shared" si="41"/>
        <v>24.989000000000004</v>
      </c>
      <c r="R225" s="23">
        <f t="shared" si="41"/>
        <v>34.989000000000004</v>
      </c>
      <c r="S225" s="23">
        <f t="shared" si="41"/>
        <v>44.989000000000004</v>
      </c>
      <c r="T225" s="23">
        <f t="shared" si="41"/>
        <v>54.989000000000004</v>
      </c>
      <c r="U225" s="23">
        <f t="shared" si="41"/>
        <v>64.989000000000004</v>
      </c>
      <c r="V225" s="220">
        <f t="shared" si="42"/>
        <v>75.807157877345873</v>
      </c>
      <c r="W225" s="220">
        <f t="shared" si="42"/>
        <v>59.579276308076572</v>
      </c>
      <c r="X225" s="220">
        <f t="shared" si="42"/>
        <v>50.874317368728128</v>
      </c>
      <c r="Y225" s="220">
        <f t="shared" si="42"/>
        <v>44.990666908035394</v>
      </c>
      <c r="Z225" s="220">
        <f t="shared" si="42"/>
        <v>40.583904034745331</v>
      </c>
      <c r="AA225" s="220">
        <f t="shared" si="42"/>
        <v>37.080412613531365</v>
      </c>
      <c r="AB225" s="220">
        <f t="shared" si="42"/>
        <v>34.1838677193672</v>
      </c>
      <c r="AC225" s="220">
        <f t="shared" si="42"/>
        <v>31.721872228719263</v>
      </c>
      <c r="AD225" s="220">
        <f t="shared" si="42"/>
        <v>29.585582832600593</v>
      </c>
      <c r="AE225" s="220">
        <f t="shared" si="42"/>
        <v>27.702035503184945</v>
      </c>
    </row>
    <row r="226" spans="5:31" x14ac:dyDescent="0.25">
      <c r="E226" s="225">
        <v>2.2100000000000002E-2</v>
      </c>
      <c r="F226" s="222">
        <f t="shared" si="39"/>
        <v>22.1</v>
      </c>
      <c r="G226" s="23">
        <f t="shared" si="35"/>
        <v>-75.261050000000012</v>
      </c>
      <c r="H226" s="23">
        <f t="shared" si="41"/>
        <v>-65.261050000000012</v>
      </c>
      <c r="I226" s="23">
        <f t="shared" si="41"/>
        <v>-55.261050000000004</v>
      </c>
      <c r="J226" s="23">
        <f t="shared" si="41"/>
        <v>-45.261050000000004</v>
      </c>
      <c r="K226" s="23">
        <f t="shared" si="41"/>
        <v>-35.261050000000004</v>
      </c>
      <c r="L226" s="23">
        <f t="shared" si="41"/>
        <v>-25.261050000000004</v>
      </c>
      <c r="M226" s="23">
        <f t="shared" si="41"/>
        <v>-15.261050000000004</v>
      </c>
      <c r="N226" s="23">
        <f t="shared" si="41"/>
        <v>-5.2610500000000044</v>
      </c>
      <c r="O226" s="23">
        <f t="shared" si="41"/>
        <v>4.7389499999999956</v>
      </c>
      <c r="P226" s="23">
        <f t="shared" si="41"/>
        <v>14.738949999999996</v>
      </c>
      <c r="Q226" s="23">
        <f t="shared" si="41"/>
        <v>24.738949999999996</v>
      </c>
      <c r="R226" s="23">
        <f t="shared" si="41"/>
        <v>34.738949999999996</v>
      </c>
      <c r="S226" s="23">
        <f t="shared" si="41"/>
        <v>44.738949999999996</v>
      </c>
      <c r="T226" s="23">
        <f t="shared" si="41"/>
        <v>54.738949999999996</v>
      </c>
      <c r="U226" s="23">
        <f t="shared" si="41"/>
        <v>64.738949999999988</v>
      </c>
      <c r="V226" s="220">
        <f t="shared" ref="V226:AE235" si="43">Enthalpie_p_phi_x(hx_druck,V$4,$E226)-$E226*R0()</f>
        <v>75.928587698344074</v>
      </c>
      <c r="W226" s="220">
        <f t="shared" si="43"/>
        <v>59.686800416054673</v>
      </c>
      <c r="X226" s="220">
        <f t="shared" si="43"/>
        <v>50.974879482780331</v>
      </c>
      <c r="Y226" s="220">
        <f t="shared" si="43"/>
        <v>45.086611132394658</v>
      </c>
      <c r="Z226" s="220">
        <f t="shared" si="43"/>
        <v>40.676435862003338</v>
      </c>
      <c r="AA226" s="220">
        <f t="shared" si="43"/>
        <v>37.170259810066675</v>
      </c>
      <c r="AB226" s="220">
        <f t="shared" si="43"/>
        <v>34.271514311333426</v>
      </c>
      <c r="AC226" s="220">
        <f t="shared" si="43"/>
        <v>31.807661836489537</v>
      </c>
      <c r="AD226" s="220">
        <f t="shared" si="43"/>
        <v>29.669771159013614</v>
      </c>
      <c r="AE226" s="220">
        <f t="shared" si="43"/>
        <v>27.784819729429621</v>
      </c>
    </row>
    <row r="227" spans="5:31" x14ac:dyDescent="0.25">
      <c r="E227" s="225">
        <v>2.2200000000000001E-2</v>
      </c>
      <c r="F227" s="222">
        <f t="shared" si="39"/>
        <v>22.2</v>
      </c>
      <c r="G227" s="23">
        <f t="shared" si="35"/>
        <v>-75.511099999999999</v>
      </c>
      <c r="H227" s="23">
        <f t="shared" si="41"/>
        <v>-65.511099999999999</v>
      </c>
      <c r="I227" s="23">
        <f t="shared" si="41"/>
        <v>-55.511099999999999</v>
      </c>
      <c r="J227" s="23">
        <f t="shared" si="41"/>
        <v>-45.511099999999999</v>
      </c>
      <c r="K227" s="23">
        <f t="shared" si="41"/>
        <v>-35.511099999999999</v>
      </c>
      <c r="L227" s="23">
        <f t="shared" si="41"/>
        <v>-25.511099999999999</v>
      </c>
      <c r="M227" s="23">
        <f t="shared" si="41"/>
        <v>-15.511099999999999</v>
      </c>
      <c r="N227" s="23">
        <f t="shared" si="41"/>
        <v>-5.511099999999999</v>
      </c>
      <c r="O227" s="23">
        <f t="shared" si="41"/>
        <v>4.488900000000001</v>
      </c>
      <c r="P227" s="23">
        <f t="shared" si="41"/>
        <v>14.488900000000001</v>
      </c>
      <c r="Q227" s="23">
        <f t="shared" si="41"/>
        <v>24.488900000000001</v>
      </c>
      <c r="R227" s="23">
        <f t="shared" si="41"/>
        <v>34.488900000000001</v>
      </c>
      <c r="S227" s="23">
        <f t="shared" si="41"/>
        <v>44.488900000000001</v>
      </c>
      <c r="T227" s="23">
        <f t="shared" si="41"/>
        <v>54.488900000000001</v>
      </c>
      <c r="U227" s="23">
        <f t="shared" si="41"/>
        <v>64.488900000000001</v>
      </c>
      <c r="V227" s="220">
        <f t="shared" si="43"/>
        <v>76.049625262111874</v>
      </c>
      <c r="W227" s="220">
        <f t="shared" si="43"/>
        <v>59.79396765898835</v>
      </c>
      <c r="X227" s="220">
        <f t="shared" si="43"/>
        <v>51.075103011438216</v>
      </c>
      <c r="Y227" s="220">
        <f t="shared" si="43"/>
        <v>45.18222890871354</v>
      </c>
      <c r="Z227" s="220">
        <f t="shared" si="43"/>
        <v>40.768650215061058</v>
      </c>
      <c r="AA227" s="220">
        <f t="shared" si="43"/>
        <v>37.259796594635276</v>
      </c>
      <c r="AB227" s="220">
        <f t="shared" si="43"/>
        <v>34.358856281388682</v>
      </c>
      <c r="AC227" s="220">
        <f t="shared" si="43"/>
        <v>31.893151708851661</v>
      </c>
      <c r="AD227" s="220">
        <f t="shared" si="43"/>
        <v>29.753663963922662</v>
      </c>
      <c r="AE227" s="220">
        <f t="shared" si="43"/>
        <v>27.867312129277678</v>
      </c>
    </row>
    <row r="228" spans="5:31" x14ac:dyDescent="0.25">
      <c r="E228" s="225">
        <v>2.23E-2</v>
      </c>
      <c r="F228" s="222">
        <f t="shared" si="39"/>
        <v>22.3</v>
      </c>
      <c r="G228" s="23">
        <f t="shared" si="35"/>
        <v>-75.761150000000001</v>
      </c>
      <c r="H228" s="23">
        <f t="shared" si="41"/>
        <v>-65.761150000000001</v>
      </c>
      <c r="I228" s="23">
        <f t="shared" si="41"/>
        <v>-55.761150000000001</v>
      </c>
      <c r="J228" s="23">
        <f t="shared" si="41"/>
        <v>-45.761150000000001</v>
      </c>
      <c r="K228" s="23">
        <f t="shared" si="41"/>
        <v>-35.761150000000001</v>
      </c>
      <c r="L228" s="23">
        <f t="shared" ref="H228:U246" si="44">L$4-$E228*R0()</f>
        <v>-25.761150000000001</v>
      </c>
      <c r="M228" s="23">
        <f t="shared" si="44"/>
        <v>-15.761150000000001</v>
      </c>
      <c r="N228" s="23">
        <f t="shared" si="44"/>
        <v>-5.7611500000000007</v>
      </c>
      <c r="O228" s="23">
        <f t="shared" si="44"/>
        <v>4.2388499999999993</v>
      </c>
      <c r="P228" s="23">
        <f t="shared" si="44"/>
        <v>14.238849999999999</v>
      </c>
      <c r="Q228" s="23">
        <f t="shared" si="44"/>
        <v>24.238849999999999</v>
      </c>
      <c r="R228" s="23">
        <f t="shared" si="44"/>
        <v>34.238849999999999</v>
      </c>
      <c r="S228" s="23">
        <f t="shared" si="44"/>
        <v>44.238849999999999</v>
      </c>
      <c r="T228" s="23">
        <f t="shared" si="44"/>
        <v>54.238849999999999</v>
      </c>
      <c r="U228" s="23">
        <f t="shared" si="44"/>
        <v>64.238849999999999</v>
      </c>
      <c r="V228" s="220">
        <f t="shared" si="43"/>
        <v>76.170273923917293</v>
      </c>
      <c r="W228" s="220">
        <f t="shared" si="43"/>
        <v>59.90078110869284</v>
      </c>
      <c r="X228" s="220">
        <f t="shared" si="43"/>
        <v>51.174990873944012</v>
      </c>
      <c r="Y228" s="220">
        <f t="shared" si="43"/>
        <v>45.277523054720078</v>
      </c>
      <c r="Z228" s="220">
        <f t="shared" si="43"/>
        <v>40.860549836481638</v>
      </c>
      <c r="AA228" s="220">
        <f t="shared" si="43"/>
        <v>37.349025650580401</v>
      </c>
      <c r="AB228" s="220">
        <f t="shared" si="43"/>
        <v>34.445896264279739</v>
      </c>
      <c r="AC228" s="220">
        <f t="shared" si="43"/>
        <v>31.978344439508092</v>
      </c>
      <c r="AD228" s="220">
        <f t="shared" si="43"/>
        <v>29.837263805611926</v>
      </c>
      <c r="AE228" s="220">
        <f t="shared" si="43"/>
        <v>27.949515229937788</v>
      </c>
    </row>
    <row r="229" spans="5:31" x14ac:dyDescent="0.25">
      <c r="E229" s="225">
        <v>2.24E-2</v>
      </c>
      <c r="F229" s="222">
        <f t="shared" si="39"/>
        <v>22.4</v>
      </c>
      <c r="G229" s="23">
        <f t="shared" si="35"/>
        <v>-76.011200000000002</v>
      </c>
      <c r="H229" s="23">
        <f t="shared" si="44"/>
        <v>-66.011200000000002</v>
      </c>
      <c r="I229" s="23">
        <f t="shared" si="44"/>
        <v>-56.011200000000002</v>
      </c>
      <c r="J229" s="23">
        <f t="shared" si="44"/>
        <v>-46.011200000000002</v>
      </c>
      <c r="K229" s="23">
        <f t="shared" si="44"/>
        <v>-36.011200000000002</v>
      </c>
      <c r="L229" s="23">
        <f t="shared" si="44"/>
        <v>-26.011200000000002</v>
      </c>
      <c r="M229" s="23">
        <f t="shared" si="44"/>
        <v>-16.011200000000002</v>
      </c>
      <c r="N229" s="23">
        <f t="shared" si="44"/>
        <v>-6.0112000000000023</v>
      </c>
      <c r="O229" s="23">
        <f t="shared" si="44"/>
        <v>3.9887999999999977</v>
      </c>
      <c r="P229" s="23">
        <f t="shared" si="44"/>
        <v>13.988799999999998</v>
      </c>
      <c r="Q229" s="23">
        <f t="shared" si="44"/>
        <v>23.988799999999998</v>
      </c>
      <c r="R229" s="23">
        <f t="shared" si="44"/>
        <v>33.988799999999998</v>
      </c>
      <c r="S229" s="23">
        <f t="shared" si="44"/>
        <v>43.988799999999998</v>
      </c>
      <c r="T229" s="23">
        <f t="shared" si="44"/>
        <v>53.988799999999998</v>
      </c>
      <c r="U229" s="23">
        <f t="shared" si="44"/>
        <v>63.988799999999998</v>
      </c>
      <c r="V229" s="220">
        <f t="shared" si="43"/>
        <v>76.290536995708379</v>
      </c>
      <c r="W229" s="220">
        <f t="shared" si="43"/>
        <v>60.00724379717613</v>
      </c>
      <c r="X229" s="220">
        <f t="shared" si="43"/>
        <v>51.274545951669708</v>
      </c>
      <c r="Y229" s="220">
        <f t="shared" si="43"/>
        <v>45.372496351562603</v>
      </c>
      <c r="Z229" s="220">
        <f t="shared" si="43"/>
        <v>40.952137433205138</v>
      </c>
      <c r="AA229" s="220">
        <f t="shared" si="43"/>
        <v>37.437949626376422</v>
      </c>
      <c r="AB229" s="220">
        <f t="shared" si="43"/>
        <v>34.532636860503629</v>
      </c>
      <c r="AC229" s="220">
        <f t="shared" si="43"/>
        <v>32.063242588434719</v>
      </c>
      <c r="AD229" s="220">
        <f t="shared" si="43"/>
        <v>29.920573209090847</v>
      </c>
      <c r="AE229" s="220">
        <f t="shared" si="43"/>
        <v>28.031431525740089</v>
      </c>
    </row>
    <row r="230" spans="5:31" x14ac:dyDescent="0.25">
      <c r="E230" s="225">
        <v>2.2499999999999999E-2</v>
      </c>
      <c r="F230" s="222">
        <f t="shared" si="39"/>
        <v>22.5</v>
      </c>
      <c r="G230" s="23">
        <f t="shared" si="35"/>
        <v>-76.26124999999999</v>
      </c>
      <c r="H230" s="23">
        <f t="shared" si="44"/>
        <v>-66.26124999999999</v>
      </c>
      <c r="I230" s="23">
        <f t="shared" si="44"/>
        <v>-56.261249999999997</v>
      </c>
      <c r="J230" s="23">
        <f t="shared" si="44"/>
        <v>-46.261249999999997</v>
      </c>
      <c r="K230" s="23">
        <f t="shared" si="44"/>
        <v>-36.261249999999997</v>
      </c>
      <c r="L230" s="23">
        <f t="shared" si="44"/>
        <v>-26.261249999999997</v>
      </c>
      <c r="M230" s="23">
        <f t="shared" si="44"/>
        <v>-16.261249999999997</v>
      </c>
      <c r="N230" s="23">
        <f t="shared" si="44"/>
        <v>-6.2612499999999969</v>
      </c>
      <c r="O230" s="23">
        <f t="shared" si="44"/>
        <v>3.7387500000000031</v>
      </c>
      <c r="P230" s="23">
        <f t="shared" si="44"/>
        <v>13.738750000000003</v>
      </c>
      <c r="Q230" s="23">
        <f t="shared" si="44"/>
        <v>23.738750000000003</v>
      </c>
      <c r="R230" s="23">
        <f t="shared" si="44"/>
        <v>33.738750000000003</v>
      </c>
      <c r="S230" s="23">
        <f t="shared" si="44"/>
        <v>43.738750000000003</v>
      </c>
      <c r="T230" s="23">
        <f t="shared" si="44"/>
        <v>53.738750000000003</v>
      </c>
      <c r="U230" s="23">
        <f t="shared" si="44"/>
        <v>63.738750000000003</v>
      </c>
      <c r="V230" s="220">
        <f t="shared" si="43"/>
        <v>76.410417746862151</v>
      </c>
      <c r="W230" s="220">
        <f t="shared" si="43"/>
        <v>60.113358717328744</v>
      </c>
      <c r="X230" s="220">
        <f t="shared" si="43"/>
        <v>51.373771088774042</v>
      </c>
      <c r="Y230" s="220">
        <f t="shared" si="43"/>
        <v>45.467151544444725</v>
      </c>
      <c r="Z230" s="220">
        <f t="shared" si="43"/>
        <v>41.043415677166983</v>
      </c>
      <c r="AA230" s="220">
        <f t="shared" si="43"/>
        <v>37.526571136234246</v>
      </c>
      <c r="AB230" s="220">
        <f t="shared" si="43"/>
        <v>34.619080636902673</v>
      </c>
      <c r="AC230" s="220">
        <f t="shared" si="43"/>
        <v>32.147848682467021</v>
      </c>
      <c r="AD230" s="220">
        <f t="shared" si="43"/>
        <v>30.003594666672363</v>
      </c>
      <c r="AE230" s="220">
        <f t="shared" si="43"/>
        <v>28.113063478708007</v>
      </c>
    </row>
    <row r="231" spans="5:31" x14ac:dyDescent="0.25">
      <c r="E231" s="225">
        <v>2.2599999999999999E-2</v>
      </c>
      <c r="F231" s="222">
        <f t="shared" si="39"/>
        <v>22.599999999999998</v>
      </c>
      <c r="G231" s="23">
        <f t="shared" si="35"/>
        <v>-76.511300000000006</v>
      </c>
      <c r="H231" s="23">
        <f t="shared" si="44"/>
        <v>-66.511300000000006</v>
      </c>
      <c r="I231" s="23">
        <f t="shared" si="44"/>
        <v>-56.511299999999999</v>
      </c>
      <c r="J231" s="23">
        <f t="shared" si="44"/>
        <v>-46.511299999999999</v>
      </c>
      <c r="K231" s="23">
        <f t="shared" si="44"/>
        <v>-36.511299999999999</v>
      </c>
      <c r="L231" s="23">
        <f t="shared" si="44"/>
        <v>-26.511299999999999</v>
      </c>
      <c r="M231" s="23">
        <f t="shared" si="44"/>
        <v>-16.511299999999999</v>
      </c>
      <c r="N231" s="23">
        <f t="shared" si="44"/>
        <v>-6.5112999999999985</v>
      </c>
      <c r="O231" s="23">
        <f t="shared" si="44"/>
        <v>3.4887000000000015</v>
      </c>
      <c r="P231" s="23">
        <f t="shared" si="44"/>
        <v>13.488700000000001</v>
      </c>
      <c r="Q231" s="23">
        <f t="shared" si="44"/>
        <v>23.488700000000001</v>
      </c>
      <c r="R231" s="23">
        <f t="shared" si="44"/>
        <v>33.488700000000001</v>
      </c>
      <c r="S231" s="23">
        <f t="shared" si="44"/>
        <v>43.488700000000001</v>
      </c>
      <c r="T231" s="23">
        <f t="shared" si="44"/>
        <v>53.488700000000001</v>
      </c>
      <c r="U231" s="23">
        <f t="shared" si="44"/>
        <v>63.488700000000001</v>
      </c>
      <c r="V231" s="220">
        <f t="shared" si="43"/>
        <v>76.529919404917678</v>
      </c>
      <c r="W231" s="220">
        <f t="shared" si="43"/>
        <v>60.21912882359883</v>
      </c>
      <c r="X231" s="220">
        <f t="shared" si="43"/>
        <v>51.472669092845031</v>
      </c>
      <c r="Y231" s="220">
        <f t="shared" si="43"/>
        <v>45.56149134324631</v>
      </c>
      <c r="Z231" s="220">
        <f t="shared" si="43"/>
        <v>41.134387205902961</v>
      </c>
      <c r="AA231" s="220">
        <f t="shared" si="43"/>
        <v>37.614892760693813</v>
      </c>
      <c r="AB231" s="220">
        <f t="shared" si="43"/>
        <v>34.705230127246374</v>
      </c>
      <c r="AC231" s="220">
        <f t="shared" si="43"/>
        <v>32.232165215873231</v>
      </c>
      <c r="AD231" s="220">
        <f t="shared" si="43"/>
        <v>30.08633063853862</v>
      </c>
      <c r="AE231" s="220">
        <f t="shared" si="43"/>
        <v>28.19441351911744</v>
      </c>
    </row>
    <row r="232" spans="5:31" x14ac:dyDescent="0.25">
      <c r="E232" s="225">
        <v>2.2700000000000001E-2</v>
      </c>
      <c r="F232" s="222">
        <f t="shared" si="39"/>
        <v>22.700000000000003</v>
      </c>
      <c r="G232" s="23">
        <f t="shared" si="35"/>
        <v>-76.761349999999993</v>
      </c>
      <c r="H232" s="23">
        <f t="shared" si="44"/>
        <v>-66.761349999999993</v>
      </c>
      <c r="I232" s="23">
        <f t="shared" si="44"/>
        <v>-56.76135</v>
      </c>
      <c r="J232" s="23">
        <f t="shared" si="44"/>
        <v>-46.76135</v>
      </c>
      <c r="K232" s="23">
        <f t="shared" si="44"/>
        <v>-36.76135</v>
      </c>
      <c r="L232" s="23">
        <f t="shared" si="44"/>
        <v>-26.76135</v>
      </c>
      <c r="M232" s="23">
        <f t="shared" si="44"/>
        <v>-16.76135</v>
      </c>
      <c r="N232" s="23">
        <f t="shared" si="44"/>
        <v>-6.7613500000000002</v>
      </c>
      <c r="O232" s="23">
        <f t="shared" si="44"/>
        <v>3.2386499999999998</v>
      </c>
      <c r="P232" s="23">
        <f t="shared" si="44"/>
        <v>13.23865</v>
      </c>
      <c r="Q232" s="23">
        <f t="shared" si="44"/>
        <v>23.23865</v>
      </c>
      <c r="R232" s="23">
        <f t="shared" si="44"/>
        <v>33.23865</v>
      </c>
      <c r="S232" s="23">
        <f t="shared" si="44"/>
        <v>43.23865</v>
      </c>
      <c r="T232" s="23">
        <f t="shared" si="44"/>
        <v>53.23865</v>
      </c>
      <c r="U232" s="23">
        <f t="shared" si="44"/>
        <v>63.23865</v>
      </c>
      <c r="V232" s="220">
        <f t="shared" si="43"/>
        <v>76.649045156292942</v>
      </c>
      <c r="W232" s="220">
        <f t="shared" si="43"/>
        <v>60.32455703265267</v>
      </c>
      <c r="X232" s="220">
        <f t="shared" si="43"/>
        <v>51.571242735528848</v>
      </c>
      <c r="Y232" s="220">
        <f t="shared" si="43"/>
        <v>45.655518423131234</v>
      </c>
      <c r="Z232" s="220">
        <f t="shared" si="43"/>
        <v>41.225054623141354</v>
      </c>
      <c r="AA232" s="220">
        <f t="shared" si="43"/>
        <v>37.702917047203748</v>
      </c>
      <c r="AB232" s="220">
        <f t="shared" si="43"/>
        <v>34.791087832801047</v>
      </c>
      <c r="AC232" s="220">
        <f t="shared" si="43"/>
        <v>32.316194650915271</v>
      </c>
      <c r="AD232" s="220">
        <f t="shared" si="43"/>
        <v>30.168783553294453</v>
      </c>
      <c r="AE232" s="220">
        <f t="shared" si="43"/>
        <v>28.275484046043239</v>
      </c>
    </row>
    <row r="233" spans="5:31" x14ac:dyDescent="0.25">
      <c r="E233" s="225">
        <v>2.2800000000000001E-2</v>
      </c>
      <c r="F233" s="222">
        <f t="shared" si="39"/>
        <v>22.8</v>
      </c>
      <c r="G233" s="23">
        <f t="shared" si="35"/>
        <v>-77.011400000000009</v>
      </c>
      <c r="H233" s="23">
        <f t="shared" si="44"/>
        <v>-67.011400000000009</v>
      </c>
      <c r="I233" s="23">
        <f t="shared" si="44"/>
        <v>-57.011400000000002</v>
      </c>
      <c r="J233" s="23">
        <f t="shared" si="44"/>
        <v>-47.011400000000002</v>
      </c>
      <c r="K233" s="23">
        <f t="shared" si="44"/>
        <v>-37.011400000000002</v>
      </c>
      <c r="L233" s="23">
        <f t="shared" si="44"/>
        <v>-27.011400000000002</v>
      </c>
      <c r="M233" s="23">
        <f t="shared" si="44"/>
        <v>-17.011400000000002</v>
      </c>
      <c r="N233" s="23">
        <f t="shared" si="44"/>
        <v>-7.0114000000000019</v>
      </c>
      <c r="O233" s="23">
        <f t="shared" si="44"/>
        <v>2.9885999999999981</v>
      </c>
      <c r="P233" s="23">
        <f t="shared" si="44"/>
        <v>12.988599999999998</v>
      </c>
      <c r="Q233" s="23">
        <f t="shared" si="44"/>
        <v>22.988599999999998</v>
      </c>
      <c r="R233" s="23">
        <f t="shared" si="44"/>
        <v>32.988599999999998</v>
      </c>
      <c r="S233" s="23">
        <f t="shared" si="44"/>
        <v>42.988599999999998</v>
      </c>
      <c r="T233" s="23">
        <f t="shared" si="44"/>
        <v>52.988599999999998</v>
      </c>
      <c r="U233" s="23">
        <f t="shared" si="44"/>
        <v>62.988599999999998</v>
      </c>
      <c r="V233" s="220">
        <f t="shared" si="43"/>
        <v>76.767798146986649</v>
      </c>
      <c r="W233" s="220">
        <f t="shared" si="43"/>
        <v>60.429646224020736</v>
      </c>
      <c r="X233" s="220">
        <f t="shared" si="43"/>
        <v>51.669494753144939</v>
      </c>
      <c r="Y233" s="220">
        <f t="shared" si="43"/>
        <v>45.749235425141713</v>
      </c>
      <c r="Z233" s="220">
        <f t="shared" si="43"/>
        <v>41.315420499381936</v>
      </c>
      <c r="AA233" s="220">
        <f t="shared" si="43"/>
        <v>37.790646510688369</v>
      </c>
      <c r="AB233" s="220">
        <f t="shared" si="43"/>
        <v>34.876656222886915</v>
      </c>
      <c r="AC233" s="220">
        <f t="shared" si="43"/>
        <v>32.399939418397516</v>
      </c>
      <c r="AD233" s="220">
        <f t="shared" si="43"/>
        <v>30.250955808508856</v>
      </c>
      <c r="AE233" s="220">
        <f t="shared" si="43"/>
        <v>28.356277427894675</v>
      </c>
    </row>
    <row r="234" spans="5:31" x14ac:dyDescent="0.25">
      <c r="E234" s="225">
        <v>2.29E-2</v>
      </c>
      <c r="F234" s="222">
        <f t="shared" si="39"/>
        <v>22.9</v>
      </c>
      <c r="G234" s="23">
        <f t="shared" si="35"/>
        <v>-77.261449999999996</v>
      </c>
      <c r="H234" s="23">
        <f t="shared" si="44"/>
        <v>-67.261449999999996</v>
      </c>
      <c r="I234" s="23">
        <f t="shared" si="44"/>
        <v>-57.261450000000004</v>
      </c>
      <c r="J234" s="23">
        <f t="shared" si="44"/>
        <v>-47.261450000000004</v>
      </c>
      <c r="K234" s="23">
        <f t="shared" si="44"/>
        <v>-37.261450000000004</v>
      </c>
      <c r="L234" s="23">
        <f t="shared" si="44"/>
        <v>-27.261450000000004</v>
      </c>
      <c r="M234" s="23">
        <f t="shared" si="44"/>
        <v>-17.261450000000004</v>
      </c>
      <c r="N234" s="23">
        <f t="shared" si="44"/>
        <v>-7.2614500000000035</v>
      </c>
      <c r="O234" s="23">
        <f t="shared" si="44"/>
        <v>2.7385499999999965</v>
      </c>
      <c r="P234" s="23">
        <f t="shared" si="44"/>
        <v>12.738549999999996</v>
      </c>
      <c r="Q234" s="23">
        <f t="shared" si="44"/>
        <v>22.738549999999996</v>
      </c>
      <c r="R234" s="23">
        <f t="shared" si="44"/>
        <v>32.738549999999996</v>
      </c>
      <c r="S234" s="23">
        <f t="shared" si="44"/>
        <v>42.738549999999996</v>
      </c>
      <c r="T234" s="23">
        <f t="shared" si="44"/>
        <v>52.738549999999996</v>
      </c>
      <c r="U234" s="23">
        <f t="shared" si="44"/>
        <v>62.738549999999996</v>
      </c>
      <c r="V234" s="220">
        <f t="shared" si="43"/>
        <v>76.886181483265062</v>
      </c>
      <c r="W234" s="220">
        <f t="shared" si="43"/>
        <v>60.534399240730302</v>
      </c>
      <c r="X234" s="220">
        <f t="shared" si="43"/>
        <v>51.767427847288168</v>
      </c>
      <c r="Y234" s="220">
        <f t="shared" si="43"/>
        <v>45.842644956780397</v>
      </c>
      <c r="Z234" s="220">
        <f t="shared" si="43"/>
        <v>41.405487372463007</v>
      </c>
      <c r="AA234" s="220">
        <f t="shared" si="43"/>
        <v>37.878083634102829</v>
      </c>
      <c r="AB234" s="220">
        <f t="shared" si="43"/>
        <v>34.961937735423355</v>
      </c>
      <c r="AC234" s="220">
        <f t="shared" si="43"/>
        <v>32.483401918203917</v>
      </c>
      <c r="AD234" s="220">
        <f t="shared" si="43"/>
        <v>30.332849771245058</v>
      </c>
      <c r="AE234" s="220">
        <f t="shared" si="43"/>
        <v>28.436796002939197</v>
      </c>
    </row>
    <row r="235" spans="5:31" x14ac:dyDescent="0.25">
      <c r="E235" s="225">
        <v>2.3E-2</v>
      </c>
      <c r="F235" s="222">
        <f t="shared" si="39"/>
        <v>23</v>
      </c>
      <c r="G235" s="23">
        <f t="shared" si="35"/>
        <v>-77.511499999999998</v>
      </c>
      <c r="H235" s="23">
        <f t="shared" si="44"/>
        <v>-67.511499999999998</v>
      </c>
      <c r="I235" s="23">
        <f t="shared" si="44"/>
        <v>-57.511499999999998</v>
      </c>
      <c r="J235" s="23">
        <f t="shared" si="44"/>
        <v>-47.511499999999998</v>
      </c>
      <c r="K235" s="23">
        <f t="shared" si="44"/>
        <v>-37.511499999999998</v>
      </c>
      <c r="L235" s="23">
        <f t="shared" si="44"/>
        <v>-27.511499999999998</v>
      </c>
      <c r="M235" s="23">
        <f t="shared" si="44"/>
        <v>-17.511499999999998</v>
      </c>
      <c r="N235" s="23">
        <f t="shared" si="44"/>
        <v>-7.5114999999999981</v>
      </c>
      <c r="O235" s="23">
        <f t="shared" si="44"/>
        <v>2.4885000000000019</v>
      </c>
      <c r="P235" s="23">
        <f t="shared" si="44"/>
        <v>12.488500000000002</v>
      </c>
      <c r="Q235" s="23">
        <f t="shared" si="44"/>
        <v>22.488500000000002</v>
      </c>
      <c r="R235" s="23">
        <f t="shared" si="44"/>
        <v>32.488500000000002</v>
      </c>
      <c r="S235" s="23">
        <f t="shared" si="44"/>
        <v>42.488500000000002</v>
      </c>
      <c r="T235" s="23">
        <f t="shared" si="44"/>
        <v>52.488500000000002</v>
      </c>
      <c r="U235" s="23">
        <f t="shared" si="44"/>
        <v>62.488500000000002</v>
      </c>
      <c r="V235" s="220">
        <f t="shared" si="43"/>
        <v>77.004198232333763</v>
      </c>
      <c r="W235" s="220">
        <f t="shared" si="43"/>
        <v>60.638818889924281</v>
      </c>
      <c r="X235" s="220">
        <f t="shared" si="43"/>
        <v>51.865044685418056</v>
      </c>
      <c r="Y235" s="220">
        <f t="shared" si="43"/>
        <v>45.935749592579626</v>
      </c>
      <c r="Z235" s="220">
        <f t="shared" si="43"/>
        <v>41.495257748115989</v>
      </c>
      <c r="AA235" s="220">
        <f t="shared" si="43"/>
        <v>37.965230868976136</v>
      </c>
      <c r="AB235" s="220">
        <f t="shared" si="43"/>
        <v>35.046934777462624</v>
      </c>
      <c r="AC235" s="220">
        <f t="shared" si="43"/>
        <v>32.566584519823451</v>
      </c>
      <c r="AD235" s="220">
        <f t="shared" si="43"/>
        <v>30.41446777857908</v>
      </c>
      <c r="AE235" s="220">
        <f t="shared" si="43"/>
        <v>28.517042079814857</v>
      </c>
    </row>
    <row r="236" spans="5:31" x14ac:dyDescent="0.25">
      <c r="E236" s="225">
        <v>2.3099999999999999E-2</v>
      </c>
      <c r="F236" s="222">
        <f t="shared" si="39"/>
        <v>23.099999999999998</v>
      </c>
      <c r="G236" s="23">
        <f t="shared" si="35"/>
        <v>-77.76155</v>
      </c>
      <c r="H236" s="23">
        <f t="shared" si="44"/>
        <v>-67.76155</v>
      </c>
      <c r="I236" s="23">
        <f t="shared" si="44"/>
        <v>-57.76155</v>
      </c>
      <c r="J236" s="23">
        <f t="shared" si="44"/>
        <v>-47.76155</v>
      </c>
      <c r="K236" s="23">
        <f t="shared" si="44"/>
        <v>-37.76155</v>
      </c>
      <c r="L236" s="23">
        <f t="shared" si="44"/>
        <v>-27.76155</v>
      </c>
      <c r="M236" s="23">
        <f t="shared" si="44"/>
        <v>-17.76155</v>
      </c>
      <c r="N236" s="23">
        <f t="shared" si="44"/>
        <v>-7.7615499999999997</v>
      </c>
      <c r="O236" s="23">
        <f t="shared" si="44"/>
        <v>2.2384500000000003</v>
      </c>
      <c r="P236" s="23">
        <f t="shared" si="44"/>
        <v>12.23845</v>
      </c>
      <c r="Q236" s="23">
        <f t="shared" si="44"/>
        <v>22.23845</v>
      </c>
      <c r="R236" s="23">
        <f t="shared" si="44"/>
        <v>32.23845</v>
      </c>
      <c r="S236" s="23">
        <f t="shared" si="44"/>
        <v>42.23845</v>
      </c>
      <c r="T236" s="23">
        <f t="shared" si="44"/>
        <v>52.23845</v>
      </c>
      <c r="U236" s="23">
        <f t="shared" si="44"/>
        <v>62.23845</v>
      </c>
      <c r="V236" s="220">
        <f t="shared" ref="V236:AE245" si="45">Enthalpie_p_phi_x(hx_druck,V$4,$E236)-$E236*R0()</f>
        <v>77.121851422996031</v>
      </c>
      <c r="W236" s="220">
        <f t="shared" si="45"/>
        <v>60.742907943467031</v>
      </c>
      <c r="X236" s="220">
        <f t="shared" si="45"/>
        <v>51.962347901435407</v>
      </c>
      <c r="Y236" s="220">
        <f t="shared" si="45"/>
        <v>46.028551874658689</v>
      </c>
      <c r="Z236" s="220">
        <f t="shared" si="45"/>
        <v>41.584734100508399</v>
      </c>
      <c r="AA236" s="220">
        <f t="shared" si="45"/>
        <v>38.052090635942761</v>
      </c>
      <c r="AB236" s="220">
        <f t="shared" si="45"/>
        <v>35.131649725711995</v>
      </c>
      <c r="AC236" s="220">
        <f t="shared" si="45"/>
        <v>32.649489562864602</v>
      </c>
      <c r="AD236" s="220">
        <f t="shared" si="45"/>
        <v>30.495812138107254</v>
      </c>
      <c r="AE236" s="220">
        <f t="shared" si="45"/>
        <v>28.597017938031883</v>
      </c>
    </row>
    <row r="237" spans="5:31" x14ac:dyDescent="0.25">
      <c r="E237" s="225">
        <v>2.3199999999999998E-2</v>
      </c>
      <c r="F237" s="222">
        <f t="shared" si="39"/>
        <v>23.2</v>
      </c>
      <c r="G237" s="23">
        <f t="shared" si="35"/>
        <v>-78.011599999999987</v>
      </c>
      <c r="H237" s="23">
        <f t="shared" si="44"/>
        <v>-68.011599999999987</v>
      </c>
      <c r="I237" s="23">
        <f t="shared" si="44"/>
        <v>-58.011599999999994</v>
      </c>
      <c r="J237" s="23">
        <f t="shared" si="44"/>
        <v>-48.011599999999994</v>
      </c>
      <c r="K237" s="23">
        <f t="shared" si="44"/>
        <v>-38.011599999999994</v>
      </c>
      <c r="L237" s="23">
        <f t="shared" si="44"/>
        <v>-28.011599999999994</v>
      </c>
      <c r="M237" s="23">
        <f t="shared" si="44"/>
        <v>-18.011599999999994</v>
      </c>
      <c r="N237" s="23">
        <f t="shared" si="44"/>
        <v>-8.0115999999999943</v>
      </c>
      <c r="O237" s="23">
        <f t="shared" si="44"/>
        <v>1.9884000000000057</v>
      </c>
      <c r="P237" s="23">
        <f t="shared" si="44"/>
        <v>11.988400000000006</v>
      </c>
      <c r="Q237" s="23">
        <f t="shared" si="44"/>
        <v>21.988400000000006</v>
      </c>
      <c r="R237" s="23">
        <f t="shared" si="44"/>
        <v>31.988400000000006</v>
      </c>
      <c r="S237" s="23">
        <f t="shared" si="44"/>
        <v>41.988400000000006</v>
      </c>
      <c r="T237" s="23">
        <f t="shared" si="44"/>
        <v>51.988400000000006</v>
      </c>
      <c r="U237" s="23">
        <f t="shared" si="44"/>
        <v>61.988400000000006</v>
      </c>
      <c r="V237" s="220">
        <f t="shared" si="45"/>
        <v>77.239144046296417</v>
      </c>
      <c r="W237" s="220">
        <f t="shared" si="45"/>
        <v>60.846669138537386</v>
      </c>
      <c r="X237" s="220">
        <f t="shared" si="45"/>
        <v>52.059340096246977</v>
      </c>
      <c r="Y237" s="220">
        <f t="shared" si="45"/>
        <v>46.12105431326966</v>
      </c>
      <c r="Z237" s="220">
        <f t="shared" si="45"/>
        <v>41.673918872775367</v>
      </c>
      <c r="AA237" s="220">
        <f t="shared" si="45"/>
        <v>38.138665325263055</v>
      </c>
      <c r="AB237" s="220">
        <f t="shared" si="45"/>
        <v>35.216084927045095</v>
      </c>
      <c r="AC237" s="220">
        <f t="shared" si="45"/>
        <v>32.732119357558865</v>
      </c>
      <c r="AD237" s="220">
        <f t="shared" si="45"/>
        <v>30.576885128443202</v>
      </c>
      <c r="AE237" s="220">
        <f t="shared" si="45"/>
        <v>28.67672582846405</v>
      </c>
    </row>
    <row r="238" spans="5:31" x14ac:dyDescent="0.25">
      <c r="E238" s="225">
        <v>2.3300000000000001E-2</v>
      </c>
      <c r="F238" s="222">
        <f t="shared" si="39"/>
        <v>23.3</v>
      </c>
      <c r="G238" s="23">
        <f t="shared" si="35"/>
        <v>-78.261650000000003</v>
      </c>
      <c r="H238" s="23">
        <f t="shared" si="44"/>
        <v>-68.261650000000003</v>
      </c>
      <c r="I238" s="23">
        <f t="shared" si="44"/>
        <v>-58.261650000000003</v>
      </c>
      <c r="J238" s="23">
        <f t="shared" si="44"/>
        <v>-48.261650000000003</v>
      </c>
      <c r="K238" s="23">
        <f t="shared" si="44"/>
        <v>-38.261650000000003</v>
      </c>
      <c r="L238" s="23">
        <f t="shared" si="44"/>
        <v>-28.261650000000003</v>
      </c>
      <c r="M238" s="23">
        <f t="shared" si="44"/>
        <v>-18.261650000000003</v>
      </c>
      <c r="N238" s="23">
        <f t="shared" si="44"/>
        <v>-8.261650000000003</v>
      </c>
      <c r="O238" s="23">
        <f t="shared" si="44"/>
        <v>1.738349999999997</v>
      </c>
      <c r="P238" s="23">
        <f t="shared" si="44"/>
        <v>11.738349999999997</v>
      </c>
      <c r="Q238" s="23">
        <f t="shared" si="44"/>
        <v>21.738349999999997</v>
      </c>
      <c r="R238" s="23">
        <f t="shared" si="44"/>
        <v>31.738349999999997</v>
      </c>
      <c r="S238" s="23">
        <f t="shared" si="44"/>
        <v>41.738349999999997</v>
      </c>
      <c r="T238" s="23">
        <f t="shared" si="44"/>
        <v>51.738349999999997</v>
      </c>
      <c r="U238" s="23">
        <f t="shared" si="44"/>
        <v>61.738349999999997</v>
      </c>
      <c r="V238" s="220">
        <f t="shared" si="45"/>
        <v>77.356079056151486</v>
      </c>
      <c r="W238" s="220">
        <f t="shared" si="45"/>
        <v>60.950105178209213</v>
      </c>
      <c r="X238" s="220">
        <f t="shared" si="45"/>
        <v>52.156023838318021</v>
      </c>
      <c r="Y238" s="220">
        <f t="shared" si="45"/>
        <v>46.213259387331107</v>
      </c>
      <c r="Z238" s="220">
        <f t="shared" si="45"/>
        <v>41.762814477539791</v>
      </c>
      <c r="AA238" s="220">
        <f t="shared" si="45"/>
        <v>38.224957297332566</v>
      </c>
      <c r="AB238" s="220">
        <f t="shared" si="45"/>
        <v>35.300242699002311</v>
      </c>
      <c r="AC238" s="220">
        <f t="shared" si="45"/>
        <v>32.814476185253625</v>
      </c>
      <c r="AD238" s="220">
        <f t="shared" si="45"/>
        <v>30.657688999704163</v>
      </c>
      <c r="AE238" s="220">
        <f t="shared" si="45"/>
        <v>28.756167973828525</v>
      </c>
    </row>
    <row r="239" spans="5:31" x14ac:dyDescent="0.25">
      <c r="E239" s="225">
        <v>2.3400000000000001E-2</v>
      </c>
      <c r="F239" s="222">
        <f t="shared" si="39"/>
        <v>23.400000000000002</v>
      </c>
      <c r="G239" s="23">
        <f t="shared" si="35"/>
        <v>-78.511700000000005</v>
      </c>
      <c r="H239" s="23">
        <f t="shared" si="44"/>
        <v>-68.511700000000005</v>
      </c>
      <c r="I239" s="23">
        <f t="shared" si="44"/>
        <v>-58.511700000000005</v>
      </c>
      <c r="J239" s="23">
        <f t="shared" si="44"/>
        <v>-48.511700000000005</v>
      </c>
      <c r="K239" s="23">
        <f t="shared" si="44"/>
        <v>-38.511700000000005</v>
      </c>
      <c r="L239" s="23">
        <f t="shared" si="44"/>
        <v>-28.511700000000005</v>
      </c>
      <c r="M239" s="23">
        <f t="shared" si="44"/>
        <v>-18.511700000000005</v>
      </c>
      <c r="N239" s="23">
        <f t="shared" si="44"/>
        <v>-8.5117000000000047</v>
      </c>
      <c r="O239" s="23">
        <f t="shared" si="44"/>
        <v>1.4882999999999953</v>
      </c>
      <c r="P239" s="23">
        <f t="shared" si="44"/>
        <v>11.488299999999995</v>
      </c>
      <c r="Q239" s="23">
        <f t="shared" si="44"/>
        <v>21.488299999999995</v>
      </c>
      <c r="R239" s="23">
        <f t="shared" si="44"/>
        <v>31.488299999999995</v>
      </c>
      <c r="S239" s="23">
        <f t="shared" si="44"/>
        <v>41.488299999999995</v>
      </c>
      <c r="T239" s="23">
        <f t="shared" si="44"/>
        <v>51.488299999999995</v>
      </c>
      <c r="U239" s="23">
        <f t="shared" si="44"/>
        <v>61.488299999999995</v>
      </c>
      <c r="V239" s="220">
        <f t="shared" si="45"/>
        <v>77.472659369966735</v>
      </c>
      <c r="W239" s="220">
        <f t="shared" si="45"/>
        <v>61.053218732019772</v>
      </c>
      <c r="X239" s="220">
        <f t="shared" si="45"/>
        <v>52.252401664213352</v>
      </c>
      <c r="Y239" s="220">
        <f t="shared" si="45"/>
        <v>46.305169544951184</v>
      </c>
      <c r="Z239" s="220">
        <f t="shared" si="45"/>
        <v>41.851423297421832</v>
      </c>
      <c r="AA239" s="220">
        <f t="shared" si="45"/>
        <v>38.310968883180834</v>
      </c>
      <c r="AB239" s="220">
        <f t="shared" si="45"/>
        <v>35.384125330280781</v>
      </c>
      <c r="AC239" s="220">
        <f t="shared" si="45"/>
        <v>32.896562298894736</v>
      </c>
      <c r="AD239" s="220">
        <f t="shared" si="45"/>
        <v>30.738225973987156</v>
      </c>
      <c r="AE239" s="220">
        <f t="shared" si="45"/>
        <v>28.835346569157451</v>
      </c>
    </row>
    <row r="240" spans="5:31" x14ac:dyDescent="0.25">
      <c r="E240" s="225">
        <v>2.35E-2</v>
      </c>
      <c r="F240" s="222">
        <f t="shared" si="39"/>
        <v>23.5</v>
      </c>
      <c r="G240" s="23">
        <f t="shared" si="35"/>
        <v>-78.761750000000006</v>
      </c>
      <c r="H240" s="23">
        <f t="shared" si="44"/>
        <v>-68.761750000000006</v>
      </c>
      <c r="I240" s="23">
        <f t="shared" si="44"/>
        <v>-58.761749999999999</v>
      </c>
      <c r="J240" s="23">
        <f t="shared" si="44"/>
        <v>-48.761749999999999</v>
      </c>
      <c r="K240" s="23">
        <f t="shared" si="44"/>
        <v>-38.761749999999999</v>
      </c>
      <c r="L240" s="23">
        <f t="shared" si="44"/>
        <v>-28.761749999999999</v>
      </c>
      <c r="M240" s="23">
        <f t="shared" si="44"/>
        <v>-18.761749999999999</v>
      </c>
      <c r="N240" s="23">
        <f t="shared" si="44"/>
        <v>-8.7617499999999993</v>
      </c>
      <c r="O240" s="23">
        <f t="shared" si="44"/>
        <v>1.2382500000000007</v>
      </c>
      <c r="P240" s="23">
        <f t="shared" si="44"/>
        <v>11.238250000000001</v>
      </c>
      <c r="Q240" s="23">
        <f t="shared" si="44"/>
        <v>21.238250000000001</v>
      </c>
      <c r="R240" s="23">
        <f t="shared" si="44"/>
        <v>31.238250000000001</v>
      </c>
      <c r="S240" s="23">
        <f t="shared" si="44"/>
        <v>41.238250000000001</v>
      </c>
      <c r="T240" s="23">
        <f t="shared" si="44"/>
        <v>51.238250000000001</v>
      </c>
      <c r="U240" s="23">
        <f t="shared" si="44"/>
        <v>61.238250000000001</v>
      </c>
      <c r="V240" s="220">
        <f t="shared" si="45"/>
        <v>77.58888786924166</v>
      </c>
      <c r="W240" s="220">
        <f t="shared" si="45"/>
        <v>61.156012436526318</v>
      </c>
      <c r="X240" s="220">
        <f t="shared" si="45"/>
        <v>52.348476079127288</v>
      </c>
      <c r="Y240" s="220">
        <f t="shared" si="45"/>
        <v>46.396787203939546</v>
      </c>
      <c r="Z240" s="220">
        <f t="shared" si="45"/>
        <v>41.939747685537505</v>
      </c>
      <c r="AA240" s="220">
        <f t="shared" si="45"/>
        <v>38.396702384959532</v>
      </c>
      <c r="AB240" s="220">
        <f t="shared" si="45"/>
        <v>35.46773508121408</v>
      </c>
      <c r="AC240" s="220">
        <f t="shared" si="45"/>
        <v>32.978379923499013</v>
      </c>
      <c r="AD240" s="220">
        <f t="shared" si="45"/>
        <v>30.818498245835265</v>
      </c>
      <c r="AE240" s="220">
        <f t="shared" si="45"/>
        <v>28.914263782257798</v>
      </c>
    </row>
    <row r="241" spans="5:31" x14ac:dyDescent="0.25">
      <c r="E241" s="225">
        <v>2.3599999999999999E-2</v>
      </c>
      <c r="F241" s="222">
        <f t="shared" si="39"/>
        <v>23.599999999999998</v>
      </c>
      <c r="G241" s="23">
        <f t="shared" si="35"/>
        <v>-79.011799999999994</v>
      </c>
      <c r="H241" s="23">
        <f t="shared" si="44"/>
        <v>-69.011799999999994</v>
      </c>
      <c r="I241" s="23">
        <f t="shared" si="44"/>
        <v>-59.011800000000001</v>
      </c>
      <c r="J241" s="23">
        <f t="shared" si="44"/>
        <v>-49.011800000000001</v>
      </c>
      <c r="K241" s="23">
        <f t="shared" si="44"/>
        <v>-39.011800000000001</v>
      </c>
      <c r="L241" s="23">
        <f t="shared" si="44"/>
        <v>-29.011800000000001</v>
      </c>
      <c r="M241" s="23">
        <f t="shared" si="44"/>
        <v>-19.011800000000001</v>
      </c>
      <c r="N241" s="23">
        <f t="shared" si="44"/>
        <v>-9.0118000000000009</v>
      </c>
      <c r="O241" s="23">
        <f t="shared" si="44"/>
        <v>0.98819999999999908</v>
      </c>
      <c r="P241" s="23">
        <f t="shared" si="44"/>
        <v>10.988199999999999</v>
      </c>
      <c r="Q241" s="23">
        <f t="shared" si="44"/>
        <v>20.988199999999999</v>
      </c>
      <c r="R241" s="23">
        <f t="shared" si="44"/>
        <v>30.988199999999999</v>
      </c>
      <c r="S241" s="23">
        <f t="shared" si="44"/>
        <v>40.988199999999999</v>
      </c>
      <c r="T241" s="23">
        <f t="shared" si="44"/>
        <v>50.988199999999999</v>
      </c>
      <c r="U241" s="23">
        <f t="shared" si="44"/>
        <v>60.988199999999999</v>
      </c>
      <c r="V241" s="220">
        <f t="shared" si="45"/>
        <v>77.704767400161018</v>
      </c>
      <c r="W241" s="220">
        <f t="shared" si="45"/>
        <v>61.258488895850924</v>
      </c>
      <c r="X241" s="220">
        <f t="shared" si="45"/>
        <v>52.444249557402223</v>
      </c>
      <c r="Y241" s="220">
        <f t="shared" si="45"/>
        <v>46.488114752308569</v>
      </c>
      <c r="Z241" s="220">
        <f t="shared" si="45"/>
        <v>42.027789965987147</v>
      </c>
      <c r="AA241" s="220">
        <f t="shared" si="45"/>
        <v>38.482160076420861</v>
      </c>
      <c r="AB241" s="220">
        <f t="shared" si="45"/>
        <v>35.55107418424199</v>
      </c>
      <c r="AC241" s="220">
        <f t="shared" si="45"/>
        <v>33.059931256616885</v>
      </c>
      <c r="AD241" s="220">
        <f t="shared" si="45"/>
        <v>30.89850798269412</v>
      </c>
      <c r="AE241" s="220">
        <f t="shared" si="45"/>
        <v>28.992921754163383</v>
      </c>
    </row>
    <row r="242" spans="5:31" x14ac:dyDescent="0.25">
      <c r="E242" s="225">
        <v>2.3699999999999999E-2</v>
      </c>
      <c r="F242" s="222">
        <f t="shared" si="39"/>
        <v>23.7</v>
      </c>
      <c r="G242" s="23">
        <f t="shared" si="35"/>
        <v>-79.261849999999995</v>
      </c>
      <c r="H242" s="23">
        <f t="shared" si="44"/>
        <v>-69.261849999999995</v>
      </c>
      <c r="I242" s="23">
        <f t="shared" si="44"/>
        <v>-59.261849999999995</v>
      </c>
      <c r="J242" s="23">
        <f t="shared" si="44"/>
        <v>-49.261849999999995</v>
      </c>
      <c r="K242" s="23">
        <f t="shared" si="44"/>
        <v>-39.261849999999995</v>
      </c>
      <c r="L242" s="23">
        <f t="shared" si="44"/>
        <v>-29.261849999999995</v>
      </c>
      <c r="M242" s="23">
        <f t="shared" si="44"/>
        <v>-19.261849999999995</v>
      </c>
      <c r="N242" s="23">
        <f t="shared" si="44"/>
        <v>-9.2618499999999955</v>
      </c>
      <c r="O242" s="23">
        <f t="shared" si="44"/>
        <v>0.73815000000000452</v>
      </c>
      <c r="P242" s="23">
        <f t="shared" si="44"/>
        <v>10.738150000000005</v>
      </c>
      <c r="Q242" s="23">
        <f t="shared" si="44"/>
        <v>20.738150000000005</v>
      </c>
      <c r="R242" s="23">
        <f t="shared" si="44"/>
        <v>30.738150000000005</v>
      </c>
      <c r="S242" s="23">
        <f t="shared" si="44"/>
        <v>40.738150000000005</v>
      </c>
      <c r="T242" s="23">
        <f t="shared" si="44"/>
        <v>50.738150000000005</v>
      </c>
      <c r="U242" s="23">
        <f t="shared" si="44"/>
        <v>60.738150000000005</v>
      </c>
      <c r="V242" s="220">
        <f t="shared" si="45"/>
        <v>77.820300774174953</v>
      </c>
      <c r="W242" s="220">
        <f t="shared" si="45"/>
        <v>61.360650682214413</v>
      </c>
      <c r="X242" s="220">
        <f t="shared" si="45"/>
        <v>52.539724543036854</v>
      </c>
      <c r="Y242" s="220">
        <f t="shared" si="45"/>
        <v>46.579154548764379</v>
      </c>
      <c r="Z242" s="220">
        <f t="shared" si="45"/>
        <v>42.115552434333651</v>
      </c>
      <c r="AA242" s="220">
        <f t="shared" si="45"/>
        <v>38.567344203385488</v>
      </c>
      <c r="AB242" s="220">
        <f t="shared" si="45"/>
        <v>35.634144844370553</v>
      </c>
      <c r="AC242" s="220">
        <f t="shared" si="45"/>
        <v>33.141218468785482</v>
      </c>
      <c r="AD242" s="220">
        <f t="shared" si="45"/>
        <v>30.978257325358967</v>
      </c>
      <c r="AE242" s="220">
        <f t="shared" si="45"/>
        <v>29.071322599575865</v>
      </c>
    </row>
    <row r="243" spans="5:31" x14ac:dyDescent="0.25">
      <c r="E243" s="225">
        <v>2.3800000000000002E-2</v>
      </c>
      <c r="F243" s="222">
        <f t="shared" si="39"/>
        <v>23.8</v>
      </c>
      <c r="G243" s="23">
        <f t="shared" si="35"/>
        <v>-79.511899999999997</v>
      </c>
      <c r="H243" s="23">
        <f t="shared" si="44"/>
        <v>-69.511899999999997</v>
      </c>
      <c r="I243" s="23">
        <f t="shared" si="44"/>
        <v>-59.511900000000004</v>
      </c>
      <c r="J243" s="23">
        <f t="shared" si="44"/>
        <v>-49.511900000000004</v>
      </c>
      <c r="K243" s="23">
        <f t="shared" si="44"/>
        <v>-39.511900000000004</v>
      </c>
      <c r="L243" s="23">
        <f t="shared" si="44"/>
        <v>-29.511900000000004</v>
      </c>
      <c r="M243" s="23">
        <f t="shared" si="44"/>
        <v>-19.511900000000004</v>
      </c>
      <c r="N243" s="23">
        <f t="shared" si="44"/>
        <v>-9.5119000000000042</v>
      </c>
      <c r="O243" s="23">
        <f t="shared" si="44"/>
        <v>0.48809999999999576</v>
      </c>
      <c r="P243" s="23">
        <f t="shared" si="44"/>
        <v>10.488099999999996</v>
      </c>
      <c r="Q243" s="23">
        <f t="shared" si="44"/>
        <v>20.488099999999996</v>
      </c>
      <c r="R243" s="23">
        <f t="shared" si="44"/>
        <v>30.488099999999996</v>
      </c>
      <c r="S243" s="23">
        <f t="shared" si="44"/>
        <v>40.488099999999996</v>
      </c>
      <c r="T243" s="23">
        <f t="shared" si="44"/>
        <v>50.488099999999996</v>
      </c>
      <c r="U243" s="23">
        <f t="shared" si="44"/>
        <v>60.488099999999996</v>
      </c>
      <c r="V243" s="220">
        <f t="shared" si="45"/>
        <v>77.935490768566581</v>
      </c>
      <c r="W243" s="220">
        <f t="shared" si="45"/>
        <v>61.462500336458895</v>
      </c>
      <c r="X243" s="220">
        <f t="shared" si="45"/>
        <v>52.63490345018365</v>
      </c>
      <c r="Y243" s="220">
        <f t="shared" si="45"/>
        <v>46.66990892318767</v>
      </c>
      <c r="Z243" s="220">
        <f t="shared" si="45"/>
        <v>42.203037358070752</v>
      </c>
      <c r="AA243" s="220">
        <f t="shared" si="45"/>
        <v>38.652256984201408</v>
      </c>
      <c r="AB243" s="220">
        <f t="shared" si="45"/>
        <v>35.716949239622515</v>
      </c>
      <c r="AC243" s="220">
        <f t="shared" si="45"/>
        <v>33.222243703972303</v>
      </c>
      <c r="AD243" s="220">
        <f t="shared" si="45"/>
        <v>31.05774838841257</v>
      </c>
      <c r="AE243" s="220">
        <f t="shared" si="45"/>
        <v>29.149468407297597</v>
      </c>
    </row>
    <row r="244" spans="5:31" x14ac:dyDescent="0.25">
      <c r="E244" s="225">
        <v>2.3900000000000001E-2</v>
      </c>
      <c r="F244" s="222">
        <f t="shared" si="39"/>
        <v>23.900000000000002</v>
      </c>
      <c r="G244" s="23">
        <f t="shared" ref="G244:G255" si="46">G$4-$E244*R0()</f>
        <v>-79.761950000000013</v>
      </c>
      <c r="H244" s="23">
        <f t="shared" si="44"/>
        <v>-69.761950000000013</v>
      </c>
      <c r="I244" s="23">
        <f t="shared" si="44"/>
        <v>-59.761950000000006</v>
      </c>
      <c r="J244" s="23">
        <f t="shared" si="44"/>
        <v>-49.761950000000006</v>
      </c>
      <c r="K244" s="23">
        <f t="shared" si="44"/>
        <v>-39.761950000000006</v>
      </c>
      <c r="L244" s="23">
        <f t="shared" si="44"/>
        <v>-29.761950000000006</v>
      </c>
      <c r="M244" s="23">
        <f t="shared" si="44"/>
        <v>-19.761950000000006</v>
      </c>
      <c r="N244" s="23">
        <f t="shared" si="44"/>
        <v>-9.7619500000000059</v>
      </c>
      <c r="O244" s="23">
        <f t="shared" si="44"/>
        <v>0.2380499999999941</v>
      </c>
      <c r="P244" s="23">
        <f t="shared" si="44"/>
        <v>10.238049999999994</v>
      </c>
      <c r="Q244" s="23">
        <f t="shared" si="44"/>
        <v>20.238049999999994</v>
      </c>
      <c r="R244" s="23">
        <f t="shared" si="44"/>
        <v>30.238049999999994</v>
      </c>
      <c r="S244" s="23">
        <f t="shared" si="44"/>
        <v>40.238049999999994</v>
      </c>
      <c r="T244" s="23">
        <f t="shared" si="44"/>
        <v>50.238049999999994</v>
      </c>
      <c r="U244" s="23">
        <f t="shared" si="44"/>
        <v>60.238049999999994</v>
      </c>
      <c r="V244" s="220">
        <f t="shared" si="45"/>
        <v>78.050340127008212</v>
      </c>
      <c r="W244" s="220">
        <f t="shared" si="45"/>
        <v>61.564040368559837</v>
      </c>
      <c r="X244" s="220">
        <f t="shared" si="45"/>
        <v>52.729788663636249</v>
      </c>
      <c r="Y244" s="220">
        <f t="shared" si="45"/>
        <v>46.760380177104572</v>
      </c>
      <c r="Z244" s="220">
        <f t="shared" si="45"/>
        <v>42.290246977081956</v>
      </c>
      <c r="AA244" s="220">
        <f t="shared" si="45"/>
        <v>38.736900610192897</v>
      </c>
      <c r="AB244" s="220">
        <f t="shared" si="45"/>
        <v>35.799489521478712</v>
      </c>
      <c r="AC244" s="220">
        <f t="shared" si="45"/>
        <v>33.303009080009879</v>
      </c>
      <c r="AD244" s="220">
        <f t="shared" si="45"/>
        <v>31.13698326065397</v>
      </c>
      <c r="AE244" s="220">
        <f t="shared" si="45"/>
        <v>29.227361240656144</v>
      </c>
    </row>
    <row r="245" spans="5:31" x14ac:dyDescent="0.25">
      <c r="E245" s="225">
        <v>2.4E-2</v>
      </c>
      <c r="F245" s="222">
        <f t="shared" si="39"/>
        <v>24</v>
      </c>
      <c r="G245" s="23">
        <f t="shared" si="46"/>
        <v>-80.012</v>
      </c>
      <c r="H245" s="23">
        <f t="shared" si="44"/>
        <v>-70.012</v>
      </c>
      <c r="I245" s="23">
        <f t="shared" si="44"/>
        <v>-60.012</v>
      </c>
      <c r="J245" s="23">
        <f t="shared" si="44"/>
        <v>-50.012</v>
      </c>
      <c r="K245" s="23">
        <f t="shared" si="44"/>
        <v>-40.012</v>
      </c>
      <c r="L245" s="23">
        <f t="shared" si="44"/>
        <v>-30.012</v>
      </c>
      <c r="M245" s="23">
        <f t="shared" si="44"/>
        <v>-20.012</v>
      </c>
      <c r="N245" s="23">
        <f t="shared" si="44"/>
        <v>-10.012</v>
      </c>
      <c r="O245" s="23">
        <f t="shared" si="44"/>
        <v>-1.2000000000000455E-2</v>
      </c>
      <c r="P245" s="23">
        <f t="shared" si="44"/>
        <v>9.9879999999999995</v>
      </c>
      <c r="Q245" s="23">
        <f t="shared" si="44"/>
        <v>19.988</v>
      </c>
      <c r="R245" s="23">
        <f t="shared" si="44"/>
        <v>29.988</v>
      </c>
      <c r="S245" s="23">
        <f t="shared" si="44"/>
        <v>39.988</v>
      </c>
      <c r="T245" s="23">
        <f t="shared" si="44"/>
        <v>49.988</v>
      </c>
      <c r="U245" s="23">
        <f t="shared" si="44"/>
        <v>59.988</v>
      </c>
      <c r="V245" s="220">
        <f t="shared" si="45"/>
        <v>78.164851560106229</v>
      </c>
      <c r="W245" s="220">
        <f t="shared" si="45"/>
        <v>61.665273258127669</v>
      </c>
      <c r="X245" s="220">
        <f t="shared" si="45"/>
        <v>52.824382539306896</v>
      </c>
      <c r="Y245" s="220">
        <f t="shared" si="45"/>
        <v>46.850570584148102</v>
      </c>
      <c r="Z245" s="220">
        <f t="shared" si="45"/>
        <v>42.3771835040898</v>
      </c>
      <c r="AA245" s="220">
        <f t="shared" si="45"/>
        <v>38.821277246100664</v>
      </c>
      <c r="AB245" s="220">
        <f t="shared" si="45"/>
        <v>35.881767815310269</v>
      </c>
      <c r="AC245" s="220">
        <f t="shared" si="45"/>
        <v>33.383516689021519</v>
      </c>
      <c r="AD245" s="220">
        <f t="shared" si="45"/>
        <v>31.215964005518686</v>
      </c>
      <c r="AE245" s="220">
        <f t="shared" si="45"/>
        <v>29.305003137918646</v>
      </c>
    </row>
    <row r="246" spans="5:31" x14ac:dyDescent="0.25">
      <c r="E246" s="225">
        <v>2.41E-2</v>
      </c>
      <c r="F246" s="222">
        <f t="shared" si="39"/>
        <v>24.1</v>
      </c>
      <c r="G246" s="23">
        <f t="shared" si="46"/>
        <v>-80.262050000000002</v>
      </c>
      <c r="H246" s="23">
        <f t="shared" si="44"/>
        <v>-70.262050000000002</v>
      </c>
      <c r="I246" s="23">
        <f t="shared" si="44"/>
        <v>-60.262050000000002</v>
      </c>
      <c r="J246" s="23">
        <f t="shared" si="44"/>
        <v>-50.262050000000002</v>
      </c>
      <c r="K246" s="23">
        <f t="shared" si="44"/>
        <v>-40.262050000000002</v>
      </c>
      <c r="L246" s="23">
        <f t="shared" si="44"/>
        <v>-30.262050000000002</v>
      </c>
      <c r="M246" s="23">
        <f t="shared" si="44"/>
        <v>-20.262050000000002</v>
      </c>
      <c r="N246" s="23">
        <f t="shared" si="44"/>
        <v>-10.262050000000002</v>
      </c>
      <c r="O246" s="23">
        <f t="shared" ref="H246:U255" si="47">O$4-$E246*R0()</f>
        <v>-0.26205000000000211</v>
      </c>
      <c r="P246" s="23">
        <f t="shared" si="47"/>
        <v>9.7379499999999979</v>
      </c>
      <c r="Q246" s="23">
        <f t="shared" si="47"/>
        <v>19.737949999999998</v>
      </c>
      <c r="R246" s="23">
        <f t="shared" si="47"/>
        <v>29.737949999999998</v>
      </c>
      <c r="S246" s="23">
        <f t="shared" si="47"/>
        <v>39.737949999999998</v>
      </c>
      <c r="T246" s="23">
        <f t="shared" si="47"/>
        <v>49.737949999999998</v>
      </c>
      <c r="U246" s="23">
        <f t="shared" si="47"/>
        <v>59.737949999999998</v>
      </c>
      <c r="V246" s="220">
        <f t="shared" ref="V246:AE255" si="48">Enthalpie_p_phi_x(hx_druck,V$4,$E246)-$E246*R0()</f>
        <v>78.27902774593467</v>
      </c>
      <c r="W246" s="220">
        <f t="shared" si="48"/>
        <v>61.766201454899075</v>
      </c>
      <c r="X246" s="220">
        <f t="shared" si="48"/>
        <v>52.918687404694154</v>
      </c>
      <c r="Y246" s="220">
        <f t="shared" si="48"/>
        <v>46.940482390509956</v>
      </c>
      <c r="Z246" s="220">
        <f t="shared" si="48"/>
        <v>42.463849125096175</v>
      </c>
      <c r="AA246" s="220">
        <f t="shared" si="48"/>
        <v>38.905389030512694</v>
      </c>
      <c r="AB246" s="220">
        <f t="shared" si="48"/>
        <v>35.963786220802021</v>
      </c>
      <c r="AC246" s="220">
        <f t="shared" si="48"/>
        <v>33.463768597838239</v>
      </c>
      <c r="AD246" s="220">
        <f t="shared" si="48"/>
        <v>31.294692661490117</v>
      </c>
      <c r="AE246" s="220">
        <f t="shared" si="48"/>
        <v>29.382396112698288</v>
      </c>
    </row>
    <row r="247" spans="5:31" x14ac:dyDescent="0.25">
      <c r="E247" s="225">
        <v>2.4199999999999999E-2</v>
      </c>
      <c r="F247" s="222">
        <f t="shared" si="39"/>
        <v>24.2</v>
      </c>
      <c r="G247" s="23">
        <f t="shared" si="46"/>
        <v>-80.512100000000004</v>
      </c>
      <c r="H247" s="23">
        <f t="shared" si="47"/>
        <v>-70.512100000000004</v>
      </c>
      <c r="I247" s="23">
        <f t="shared" si="47"/>
        <v>-60.512099999999997</v>
      </c>
      <c r="J247" s="23">
        <f t="shared" si="47"/>
        <v>-50.512099999999997</v>
      </c>
      <c r="K247" s="23">
        <f t="shared" si="47"/>
        <v>-40.512099999999997</v>
      </c>
      <c r="L247" s="23">
        <f t="shared" si="47"/>
        <v>-30.512099999999997</v>
      </c>
      <c r="M247" s="23">
        <f t="shared" si="47"/>
        <v>-20.512099999999997</v>
      </c>
      <c r="N247" s="23">
        <f t="shared" si="47"/>
        <v>-10.512099999999997</v>
      </c>
      <c r="O247" s="23">
        <f t="shared" si="47"/>
        <v>-0.51209999999999667</v>
      </c>
      <c r="P247" s="23">
        <f t="shared" si="47"/>
        <v>9.4879000000000033</v>
      </c>
      <c r="Q247" s="23">
        <f t="shared" si="47"/>
        <v>19.487900000000003</v>
      </c>
      <c r="R247" s="23">
        <f t="shared" si="47"/>
        <v>29.487900000000003</v>
      </c>
      <c r="S247" s="23">
        <f t="shared" si="47"/>
        <v>39.487900000000003</v>
      </c>
      <c r="T247" s="23">
        <f t="shared" si="47"/>
        <v>49.487900000000003</v>
      </c>
      <c r="U247" s="23">
        <f t="shared" si="47"/>
        <v>59.487900000000003</v>
      </c>
      <c r="V247" s="220">
        <f t="shared" si="48"/>
        <v>78.392871330558336</v>
      </c>
      <c r="W247" s="220">
        <f t="shared" si="48"/>
        <v>61.866827379218414</v>
      </c>
      <c r="X247" s="220">
        <f t="shared" si="48"/>
        <v>53.012705559341136</v>
      </c>
      <c r="Y247" s="220">
        <f t="shared" si="48"/>
        <v>47.030117815383399</v>
      </c>
      <c r="Z247" s="220">
        <f t="shared" si="48"/>
        <v>42.550245999813647</v>
      </c>
      <c r="AA247" s="220">
        <f t="shared" si="48"/>
        <v>38.989238076286746</v>
      </c>
      <c r="AB247" s="220">
        <f t="shared" si="48"/>
        <v>36.045546812367441</v>
      </c>
      <c r="AC247" s="220">
        <f t="shared" si="48"/>
        <v>33.543766848407508</v>
      </c>
      <c r="AD247" s="220">
        <f t="shared" si="48"/>
        <v>31.373171242502799</v>
      </c>
      <c r="AE247" s="220">
        <f t="shared" si="48"/>
        <v>29.459542154353677</v>
      </c>
    </row>
    <row r="248" spans="5:31" x14ac:dyDescent="0.25">
      <c r="E248" s="225">
        <v>2.4299999999999999E-2</v>
      </c>
      <c r="F248" s="222">
        <f t="shared" si="39"/>
        <v>24.299999999999997</v>
      </c>
      <c r="G248" s="23">
        <f t="shared" si="46"/>
        <v>-80.762149999999991</v>
      </c>
      <c r="H248" s="23">
        <f t="shared" si="47"/>
        <v>-70.762149999999991</v>
      </c>
      <c r="I248" s="23">
        <f t="shared" si="47"/>
        <v>-60.762149999999998</v>
      </c>
      <c r="J248" s="23">
        <f t="shared" si="47"/>
        <v>-50.762149999999998</v>
      </c>
      <c r="K248" s="23">
        <f t="shared" si="47"/>
        <v>-40.762149999999998</v>
      </c>
      <c r="L248" s="23">
        <f t="shared" si="47"/>
        <v>-30.762149999999998</v>
      </c>
      <c r="M248" s="23">
        <f t="shared" si="47"/>
        <v>-20.762149999999998</v>
      </c>
      <c r="N248" s="23">
        <f t="shared" si="47"/>
        <v>-10.762149999999998</v>
      </c>
      <c r="O248" s="23">
        <f t="shared" si="47"/>
        <v>-0.76214999999999833</v>
      </c>
      <c r="P248" s="23">
        <f t="shared" si="47"/>
        <v>9.2378500000000017</v>
      </c>
      <c r="Q248" s="23">
        <f t="shared" si="47"/>
        <v>19.237850000000002</v>
      </c>
      <c r="R248" s="23">
        <f t="shared" si="47"/>
        <v>29.237850000000002</v>
      </c>
      <c r="S248" s="23">
        <f t="shared" si="47"/>
        <v>39.237850000000002</v>
      </c>
      <c r="T248" s="23">
        <f t="shared" si="47"/>
        <v>49.237850000000002</v>
      </c>
      <c r="U248" s="23">
        <f t="shared" si="47"/>
        <v>59.237850000000002</v>
      </c>
      <c r="V248" s="220">
        <f t="shared" si="48"/>
        <v>78.506384928545373</v>
      </c>
      <c r="W248" s="220">
        <f t="shared" si="48"/>
        <v>62.018712934241599</v>
      </c>
      <c r="X248" s="220">
        <f t="shared" si="48"/>
        <v>53.106439275284409</v>
      </c>
      <c r="Y248" s="220">
        <f t="shared" si="48"/>
        <v>47.119479051397114</v>
      </c>
      <c r="Z248" s="220">
        <f t="shared" si="48"/>
        <v>42.636376262088</v>
      </c>
      <c r="AA248" s="220">
        <f t="shared" si="48"/>
        <v>39.072826470963939</v>
      </c>
      <c r="AB248" s="220">
        <f t="shared" si="48"/>
        <v>36.127051639555027</v>
      </c>
      <c r="AC248" s="220">
        <f t="shared" si="48"/>
        <v>33.62351345819345</v>
      </c>
      <c r="AD248" s="220">
        <f t="shared" si="48"/>
        <v>31.451401738337374</v>
      </c>
      <c r="AE248" s="220">
        <f t="shared" si="48"/>
        <v>29.53644322837831</v>
      </c>
    </row>
    <row r="249" spans="5:31" x14ac:dyDescent="0.25">
      <c r="E249" s="225">
        <v>2.4400000000000002E-2</v>
      </c>
      <c r="F249" s="222">
        <f t="shared" si="39"/>
        <v>24.400000000000002</v>
      </c>
      <c r="G249" s="23">
        <f t="shared" si="46"/>
        <v>-81.012200000000007</v>
      </c>
      <c r="H249" s="23">
        <f t="shared" si="47"/>
        <v>-71.012200000000007</v>
      </c>
      <c r="I249" s="23">
        <f t="shared" si="47"/>
        <v>-61.012200000000007</v>
      </c>
      <c r="J249" s="23">
        <f t="shared" si="47"/>
        <v>-51.012200000000007</v>
      </c>
      <c r="K249" s="23">
        <f t="shared" si="47"/>
        <v>-41.012200000000007</v>
      </c>
      <c r="L249" s="23">
        <f t="shared" si="47"/>
        <v>-31.012200000000007</v>
      </c>
      <c r="M249" s="23">
        <f t="shared" si="47"/>
        <v>-21.012200000000007</v>
      </c>
      <c r="N249" s="23">
        <f t="shared" si="47"/>
        <v>-11.012200000000007</v>
      </c>
      <c r="O249" s="23">
        <f t="shared" si="47"/>
        <v>-1.0122000000000071</v>
      </c>
      <c r="P249" s="23">
        <f t="shared" si="47"/>
        <v>8.9877999999999929</v>
      </c>
      <c r="Q249" s="23">
        <f t="shared" si="47"/>
        <v>18.987799999999993</v>
      </c>
      <c r="R249" s="23">
        <f t="shared" si="47"/>
        <v>28.987799999999993</v>
      </c>
      <c r="S249" s="23">
        <f t="shared" si="47"/>
        <v>38.987799999999993</v>
      </c>
      <c r="T249" s="23">
        <f t="shared" si="47"/>
        <v>48.987799999999993</v>
      </c>
      <c r="U249" s="23">
        <f t="shared" si="47"/>
        <v>58.987799999999993</v>
      </c>
      <c r="V249" s="220">
        <f t="shared" si="48"/>
        <v>78.619571123469029</v>
      </c>
      <c r="W249" s="220">
        <f t="shared" si="48"/>
        <v>62.119028484238896</v>
      </c>
      <c r="X249" s="220">
        <f t="shared" si="48"/>
        <v>53.199890797494078</v>
      </c>
      <c r="Y249" s="220">
        <f t="shared" si="48"/>
        <v>47.208568265040242</v>
      </c>
      <c r="Z249" s="220">
        <f t="shared" si="48"/>
        <v>42.722242020312464</v>
      </c>
      <c r="AA249" s="220">
        <f t="shared" si="48"/>
        <v>39.156156277174262</v>
      </c>
      <c r="AB249" s="220">
        <f t="shared" si="48"/>
        <v>36.208302727446807</v>
      </c>
      <c r="AC249" s="220">
        <f t="shared" si="48"/>
        <v>33.703010420569228</v>
      </c>
      <c r="AD249" s="220">
        <f t="shared" si="48"/>
        <v>31.529386115007668</v>
      </c>
      <c r="AE249" s="220">
        <f t="shared" si="48"/>
        <v>29.613101276783965</v>
      </c>
    </row>
    <row r="250" spans="5:31" x14ac:dyDescent="0.25">
      <c r="E250" s="225">
        <v>2.4500000000000001E-2</v>
      </c>
      <c r="F250" s="222">
        <f t="shared" si="39"/>
        <v>24.5</v>
      </c>
      <c r="G250" s="23">
        <f t="shared" si="46"/>
        <v>-81.262249999999995</v>
      </c>
      <c r="H250" s="23">
        <f t="shared" si="47"/>
        <v>-71.262249999999995</v>
      </c>
      <c r="I250" s="23">
        <f t="shared" si="47"/>
        <v>-61.262250000000002</v>
      </c>
      <c r="J250" s="23">
        <f t="shared" si="47"/>
        <v>-51.262250000000002</v>
      </c>
      <c r="K250" s="23">
        <f t="shared" si="47"/>
        <v>-41.262250000000002</v>
      </c>
      <c r="L250" s="23">
        <f t="shared" si="47"/>
        <v>-31.262250000000002</v>
      </c>
      <c r="M250" s="23">
        <f t="shared" si="47"/>
        <v>-21.262250000000002</v>
      </c>
      <c r="N250" s="23">
        <f t="shared" si="47"/>
        <v>-11.262250000000002</v>
      </c>
      <c r="O250" s="23">
        <f t="shared" si="47"/>
        <v>-1.2622500000000016</v>
      </c>
      <c r="P250" s="23">
        <f t="shared" si="47"/>
        <v>8.7377499999999984</v>
      </c>
      <c r="Q250" s="23">
        <f t="shared" si="47"/>
        <v>18.737749999999998</v>
      </c>
      <c r="R250" s="23">
        <f t="shared" si="47"/>
        <v>28.737749999999998</v>
      </c>
      <c r="S250" s="23">
        <f t="shared" si="47"/>
        <v>38.737749999999998</v>
      </c>
      <c r="T250" s="23">
        <f t="shared" si="47"/>
        <v>48.737749999999998</v>
      </c>
      <c r="U250" s="23">
        <f t="shared" si="47"/>
        <v>58.737749999999998</v>
      </c>
      <c r="V250" s="220">
        <f t="shared" si="48"/>
        <v>78.732432468400361</v>
      </c>
      <c r="W250" s="220">
        <f t="shared" si="48"/>
        <v>62.219049410377117</v>
      </c>
      <c r="X250" s="220">
        <f t="shared" si="48"/>
        <v>53.293062344304893</v>
      </c>
      <c r="Y250" s="220">
        <f t="shared" si="48"/>
        <v>47.297387597079002</v>
      </c>
      <c r="Z250" s="220">
        <f t="shared" si="48"/>
        <v>42.807845357833408</v>
      </c>
      <c r="AA250" s="220">
        <f t="shared" si="48"/>
        <v>39.239229533033857</v>
      </c>
      <c r="AB250" s="220">
        <f t="shared" si="48"/>
        <v>36.289302077048369</v>
      </c>
      <c r="AC250" s="220">
        <f t="shared" si="48"/>
        <v>33.782259705201362</v>
      </c>
      <c r="AD250" s="220">
        <f t="shared" si="48"/>
        <v>31.6071263151401</v>
      </c>
      <c r="AE250" s="220">
        <f t="shared" si="48"/>
        <v>29.689518218474156</v>
      </c>
    </row>
    <row r="251" spans="5:31" x14ac:dyDescent="0.25">
      <c r="E251" s="225">
        <v>2.46E-2</v>
      </c>
      <c r="F251" s="222">
        <f t="shared" si="39"/>
        <v>24.6</v>
      </c>
      <c r="G251" s="23">
        <f t="shared" si="46"/>
        <v>-81.51230000000001</v>
      </c>
      <c r="H251" s="23">
        <f t="shared" si="47"/>
        <v>-71.51230000000001</v>
      </c>
      <c r="I251" s="23">
        <f t="shared" si="47"/>
        <v>-61.512300000000003</v>
      </c>
      <c r="J251" s="23">
        <f t="shared" si="47"/>
        <v>-51.512300000000003</v>
      </c>
      <c r="K251" s="23">
        <f t="shared" si="47"/>
        <v>-41.512300000000003</v>
      </c>
      <c r="L251" s="23">
        <f t="shared" si="47"/>
        <v>-31.512300000000003</v>
      </c>
      <c r="M251" s="23">
        <f t="shared" si="47"/>
        <v>-21.512300000000003</v>
      </c>
      <c r="N251" s="23">
        <f t="shared" si="47"/>
        <v>-11.512300000000003</v>
      </c>
      <c r="O251" s="23">
        <f t="shared" si="47"/>
        <v>-1.5123000000000033</v>
      </c>
      <c r="P251" s="23">
        <f t="shared" si="47"/>
        <v>8.4876999999999967</v>
      </c>
      <c r="Q251" s="23">
        <f t="shared" si="47"/>
        <v>18.487699999999997</v>
      </c>
      <c r="R251" s="23">
        <f t="shared" si="47"/>
        <v>28.487699999999997</v>
      </c>
      <c r="S251" s="23">
        <f t="shared" si="47"/>
        <v>38.487699999999997</v>
      </c>
      <c r="T251" s="23">
        <f t="shared" si="47"/>
        <v>48.487699999999997</v>
      </c>
      <c r="U251" s="23">
        <f t="shared" si="47"/>
        <v>58.487699999999997</v>
      </c>
      <c r="V251" s="220">
        <f t="shared" si="48"/>
        <v>78.844971486389881</v>
      </c>
      <c r="W251" s="220">
        <f t="shared" si="48"/>
        <v>62.318778010754478</v>
      </c>
      <c r="X251" s="220">
        <f t="shared" si="48"/>
        <v>53.385956107838815</v>
      </c>
      <c r="Y251" s="220">
        <f t="shared" si="48"/>
        <v>47.385939162965094</v>
      </c>
      <c r="Z251" s="220">
        <f t="shared" si="48"/>
        <v>42.893188333348199</v>
      </c>
      <c r="AA251" s="220">
        <f t="shared" si="48"/>
        <v>39.322048252534465</v>
      </c>
      <c r="AB251" s="220">
        <f t="shared" si="48"/>
        <v>36.370051665671674</v>
      </c>
      <c r="AC251" s="220">
        <f t="shared" si="48"/>
        <v>33.861263258426554</v>
      </c>
      <c r="AD251" s="220">
        <f t="shared" si="48"/>
        <v>31.684624258345302</v>
      </c>
      <c r="AE251" s="220">
        <f t="shared" si="48"/>
        <v>29.765695949613026</v>
      </c>
    </row>
    <row r="252" spans="5:31" x14ac:dyDescent="0.25">
      <c r="E252" s="225">
        <v>2.47E-2</v>
      </c>
      <c r="F252" s="222">
        <f t="shared" si="39"/>
        <v>24.7</v>
      </c>
      <c r="G252" s="23">
        <f t="shared" si="46"/>
        <v>-81.762349999999998</v>
      </c>
      <c r="H252" s="23">
        <f t="shared" si="47"/>
        <v>-71.762349999999998</v>
      </c>
      <c r="I252" s="23">
        <f t="shared" si="47"/>
        <v>-61.762349999999998</v>
      </c>
      <c r="J252" s="23">
        <f t="shared" si="47"/>
        <v>-51.762349999999998</v>
      </c>
      <c r="K252" s="23">
        <f t="shared" si="47"/>
        <v>-41.762349999999998</v>
      </c>
      <c r="L252" s="23">
        <f t="shared" si="47"/>
        <v>-31.762349999999998</v>
      </c>
      <c r="M252" s="23">
        <f t="shared" si="47"/>
        <v>-21.762349999999998</v>
      </c>
      <c r="N252" s="23">
        <f t="shared" si="47"/>
        <v>-11.762349999999998</v>
      </c>
      <c r="O252" s="23">
        <f t="shared" si="47"/>
        <v>-1.7623499999999979</v>
      </c>
      <c r="P252" s="23">
        <f t="shared" si="47"/>
        <v>8.2376500000000021</v>
      </c>
      <c r="Q252" s="23">
        <f t="shared" si="47"/>
        <v>18.237650000000002</v>
      </c>
      <c r="R252" s="23">
        <f t="shared" si="47"/>
        <v>28.237650000000002</v>
      </c>
      <c r="S252" s="23">
        <f t="shared" si="47"/>
        <v>38.237650000000002</v>
      </c>
      <c r="T252" s="23">
        <f t="shared" si="47"/>
        <v>48.237650000000002</v>
      </c>
      <c r="U252" s="23">
        <f t="shared" si="47"/>
        <v>58.237650000000002</v>
      </c>
      <c r="V252" s="220">
        <f t="shared" si="48"/>
        <v>78.957190670941173</v>
      </c>
      <c r="W252" s="220">
        <f t="shared" si="48"/>
        <v>62.418216556471506</v>
      </c>
      <c r="X252" s="220">
        <f t="shared" si="48"/>
        <v>53.478574254419158</v>
      </c>
      <c r="Y252" s="220">
        <f t="shared" si="48"/>
        <v>47.474225053235784</v>
      </c>
      <c r="Z252" s="220">
        <f t="shared" si="48"/>
        <v>42.978272981294936</v>
      </c>
      <c r="AA252" s="220">
        <f t="shared" si="48"/>
        <v>39.40461442592499</v>
      </c>
      <c r="AB252" s="220">
        <f t="shared" si="48"/>
        <v>36.450553447309801</v>
      </c>
      <c r="AC252" s="220">
        <f t="shared" si="48"/>
        <v>33.940023003620922</v>
      </c>
      <c r="AD252" s="220">
        <f t="shared" si="48"/>
        <v>31.76188184158255</v>
      </c>
      <c r="AE252" s="220">
        <f t="shared" si="48"/>
        <v>29.841636343984575</v>
      </c>
    </row>
    <row r="253" spans="5:31" x14ac:dyDescent="0.25">
      <c r="E253" s="225">
        <v>2.4799999999999999E-2</v>
      </c>
      <c r="F253" s="222">
        <f t="shared" si="39"/>
        <v>24.8</v>
      </c>
      <c r="G253" s="23">
        <f t="shared" si="46"/>
        <v>-82.0124</v>
      </c>
      <c r="H253" s="23">
        <f t="shared" si="47"/>
        <v>-72.0124</v>
      </c>
      <c r="I253" s="23">
        <f t="shared" si="47"/>
        <v>-62.0124</v>
      </c>
      <c r="J253" s="23">
        <f t="shared" si="47"/>
        <v>-52.0124</v>
      </c>
      <c r="K253" s="23">
        <f t="shared" si="47"/>
        <v>-42.0124</v>
      </c>
      <c r="L253" s="23">
        <f t="shared" si="47"/>
        <v>-32.0124</v>
      </c>
      <c r="M253" s="23">
        <f t="shared" si="47"/>
        <v>-22.0124</v>
      </c>
      <c r="N253" s="23">
        <f t="shared" si="47"/>
        <v>-12.0124</v>
      </c>
      <c r="O253" s="23">
        <f t="shared" si="47"/>
        <v>-2.0123999999999995</v>
      </c>
      <c r="P253" s="23">
        <f t="shared" si="47"/>
        <v>7.9876000000000005</v>
      </c>
      <c r="Q253" s="23">
        <f t="shared" si="47"/>
        <v>17.9876</v>
      </c>
      <c r="R253" s="23">
        <f t="shared" si="47"/>
        <v>27.9876</v>
      </c>
      <c r="S253" s="23">
        <f t="shared" si="47"/>
        <v>37.9876</v>
      </c>
      <c r="T253" s="23">
        <f t="shared" si="47"/>
        <v>47.9876</v>
      </c>
      <c r="U253" s="23">
        <f t="shared" si="47"/>
        <v>57.9876</v>
      </c>
      <c r="V253" s="220">
        <f t="shared" si="48"/>
        <v>79.069092486473792</v>
      </c>
      <c r="W253" s="220">
        <f t="shared" si="48"/>
        <v>62.517367292055312</v>
      </c>
      <c r="X253" s="220">
        <f t="shared" si="48"/>
        <v>53.570918924976681</v>
      </c>
      <c r="Y253" s="220">
        <f t="shared" si="48"/>
        <v>47.562247333906257</v>
      </c>
      <c r="Z253" s="220">
        <f t="shared" si="48"/>
        <v>43.063101312234622</v>
      </c>
      <c r="AA253" s="220">
        <f t="shared" si="48"/>
        <v>39.486930020085666</v>
      </c>
      <c r="AB253" s="220">
        <f t="shared" si="48"/>
        <v>36.530809353004585</v>
      </c>
      <c r="AC253" s="220">
        <f t="shared" si="48"/>
        <v>34.018540841561929</v>
      </c>
      <c r="AD253" s="220">
        <f t="shared" si="48"/>
        <v>31.83890093951689</v>
      </c>
      <c r="AE253" s="220">
        <f t="shared" si="48"/>
        <v>29.917341253345569</v>
      </c>
    </row>
    <row r="254" spans="5:31" x14ac:dyDescent="0.25">
      <c r="E254" s="225">
        <v>2.4899999999999999E-2</v>
      </c>
      <c r="F254" s="222">
        <f t="shared" si="39"/>
        <v>24.9</v>
      </c>
      <c r="G254" s="23">
        <f t="shared" si="46"/>
        <v>-82.262450000000001</v>
      </c>
      <c r="H254" s="23">
        <f t="shared" si="47"/>
        <v>-72.262450000000001</v>
      </c>
      <c r="I254" s="23">
        <f t="shared" si="47"/>
        <v>-62.262449999999994</v>
      </c>
      <c r="J254" s="23">
        <f t="shared" si="47"/>
        <v>-52.262449999999994</v>
      </c>
      <c r="K254" s="23">
        <f t="shared" si="47"/>
        <v>-42.262449999999994</v>
      </c>
      <c r="L254" s="23">
        <f t="shared" si="47"/>
        <v>-32.262449999999994</v>
      </c>
      <c r="M254" s="23">
        <f t="shared" si="47"/>
        <v>-22.262449999999994</v>
      </c>
      <c r="N254" s="23">
        <f t="shared" si="47"/>
        <v>-12.262449999999994</v>
      </c>
      <c r="O254" s="23">
        <f t="shared" si="47"/>
        <v>-2.2624499999999941</v>
      </c>
      <c r="P254" s="23">
        <f t="shared" si="47"/>
        <v>7.7375500000000059</v>
      </c>
      <c r="Q254" s="23">
        <f t="shared" si="47"/>
        <v>17.737550000000006</v>
      </c>
      <c r="R254" s="23">
        <f t="shared" si="47"/>
        <v>27.737550000000006</v>
      </c>
      <c r="S254" s="23">
        <f t="shared" si="47"/>
        <v>37.737550000000006</v>
      </c>
      <c r="T254" s="23">
        <f t="shared" si="47"/>
        <v>47.737550000000006</v>
      </c>
      <c r="U254" s="23">
        <f t="shared" si="47"/>
        <v>57.737550000000006</v>
      </c>
      <c r="V254" s="220">
        <f t="shared" si="48"/>
        <v>79.180679368777731</v>
      </c>
      <c r="W254" s="220">
        <f t="shared" si="48"/>
        <v>62.616232435875908</v>
      </c>
      <c r="X254" s="220">
        <f t="shared" si="48"/>
        <v>53.662992235447469</v>
      </c>
      <c r="Y254" s="220">
        <f t="shared" si="48"/>
        <v>47.650008046854119</v>
      </c>
      <c r="Z254" s="220">
        <f t="shared" si="48"/>
        <v>43.147675313225655</v>
      </c>
      <c r="AA254" s="220">
        <f t="shared" si="48"/>
        <v>39.568996978894781</v>
      </c>
      <c r="AB254" s="220">
        <f t="shared" si="48"/>
        <v>36.610821291206825</v>
      </c>
      <c r="AC254" s="220">
        <f t="shared" si="48"/>
        <v>34.09681865078327</v>
      </c>
      <c r="AD254" s="220">
        <f t="shared" si="48"/>
        <v>31.915683404869249</v>
      </c>
      <c r="AE254" s="220">
        <f t="shared" si="48"/>
        <v>29.992812507771781</v>
      </c>
    </row>
    <row r="255" spans="5:31" x14ac:dyDescent="0.25">
      <c r="E255" s="225">
        <v>2.5000000000000001E-2</v>
      </c>
      <c r="F255" s="222">
        <f t="shared" si="39"/>
        <v>25</v>
      </c>
      <c r="G255" s="23">
        <f t="shared" si="46"/>
        <v>-82.512500000000003</v>
      </c>
      <c r="H255" s="23">
        <f t="shared" si="47"/>
        <v>-72.512500000000003</v>
      </c>
      <c r="I255" s="23">
        <f t="shared" si="47"/>
        <v>-62.512500000000003</v>
      </c>
      <c r="J255" s="23">
        <f t="shared" si="47"/>
        <v>-52.512500000000003</v>
      </c>
      <c r="K255" s="23">
        <f t="shared" si="47"/>
        <v>-42.512500000000003</v>
      </c>
      <c r="L255" s="23">
        <f t="shared" si="47"/>
        <v>-32.512500000000003</v>
      </c>
      <c r="M255" s="23">
        <f t="shared" si="47"/>
        <v>-22.512500000000003</v>
      </c>
      <c r="N255" s="23">
        <f t="shared" si="47"/>
        <v>-12.512500000000003</v>
      </c>
      <c r="O255" s="23">
        <f t="shared" si="47"/>
        <v>-2.5125000000000028</v>
      </c>
      <c r="P255" s="23">
        <f t="shared" si="47"/>
        <v>7.4874999999999972</v>
      </c>
      <c r="Q255" s="23">
        <f t="shared" si="47"/>
        <v>17.487499999999997</v>
      </c>
      <c r="R255" s="23">
        <f t="shared" si="47"/>
        <v>27.487499999999997</v>
      </c>
      <c r="S255" s="23">
        <f t="shared" si="47"/>
        <v>37.487499999999997</v>
      </c>
      <c r="T255" s="23">
        <f t="shared" si="47"/>
        <v>47.487499999999997</v>
      </c>
      <c r="U255" s="23">
        <f t="shared" si="47"/>
        <v>57.487499999999997</v>
      </c>
      <c r="V255" s="220">
        <f t="shared" si="48"/>
        <v>79.29195372545918</v>
      </c>
      <c r="W255" s="220">
        <f t="shared" si="48"/>
        <v>62.714814180554313</v>
      </c>
      <c r="X255" s="220">
        <f t="shared" si="48"/>
        <v>53.754796277163209</v>
      </c>
      <c r="Y255" s="220">
        <f t="shared" si="48"/>
        <v>47.737509210196421</v>
      </c>
      <c r="Z255" s="220">
        <f t="shared" si="48"/>
        <v>43.231996948191224</v>
      </c>
      <c r="AA255" s="220">
        <f t="shared" si="48"/>
        <v>39.650817223588177</v>
      </c>
      <c r="AB255" s="220">
        <f t="shared" si="48"/>
        <v>36.690591148129471</v>
      </c>
      <c r="AC255" s="220">
        <f t="shared" si="48"/>
        <v>34.174858287922561</v>
      </c>
      <c r="AD255" s="220">
        <f t="shared" si="48"/>
        <v>31.992231068759665</v>
      </c>
      <c r="AE255" s="220">
        <f t="shared" si="48"/>
        <v>30.068051915997032</v>
      </c>
    </row>
  </sheetData>
  <mergeCells count="2">
    <mergeCell ref="G2:U2"/>
    <mergeCell ref="V2:AE2"/>
  </mergeCells>
  <pageMargins left="0.7" right="0.7" top="0.78740157499999996" bottom="0.78740157499999996"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3:C174"/>
  <sheetViews>
    <sheetView workbookViewId="0">
      <selection activeCell="B17" sqref="B17"/>
    </sheetView>
  </sheetViews>
  <sheetFormatPr baseColWidth="10" defaultRowHeight="15" x14ac:dyDescent="0.25"/>
  <cols>
    <col min="2" max="2" width="13.7109375" bestFit="1" customWidth="1"/>
  </cols>
  <sheetData>
    <row r="3" spans="2:3" x14ac:dyDescent="0.25">
      <c r="B3" t="s">
        <v>154</v>
      </c>
      <c r="C3" t="s">
        <v>155</v>
      </c>
    </row>
    <row r="4" spans="2:3" x14ac:dyDescent="0.25">
      <c r="B4">
        <v>-20</v>
      </c>
      <c r="C4" s="98">
        <f>Saettigungsdruck_t(B4)*1000</f>
        <v>1.0319918817206675</v>
      </c>
    </row>
    <row r="5" spans="2:3" x14ac:dyDescent="0.25">
      <c r="B5">
        <v>-19</v>
      </c>
      <c r="C5" s="98">
        <f t="shared" ref="C5:C68" si="0">Saettigungsdruck_t(B5)*1000</f>
        <v>1.1355007760164009</v>
      </c>
    </row>
    <row r="6" spans="2:3" x14ac:dyDescent="0.25">
      <c r="B6">
        <v>-18</v>
      </c>
      <c r="C6" s="98">
        <f t="shared" si="0"/>
        <v>1.2484558927016993</v>
      </c>
    </row>
    <row r="7" spans="2:3" x14ac:dyDescent="0.25">
      <c r="B7">
        <v>-17</v>
      </c>
      <c r="C7" s="98">
        <f t="shared" si="0"/>
        <v>1.3716313297275911</v>
      </c>
    </row>
    <row r="8" spans="2:3" x14ac:dyDescent="0.25">
      <c r="B8">
        <v>-16</v>
      </c>
      <c r="C8" s="98">
        <f t="shared" si="0"/>
        <v>1.5058571153977787</v>
      </c>
    </row>
    <row r="9" spans="2:3" x14ac:dyDescent="0.25">
      <c r="B9">
        <v>-15</v>
      </c>
      <c r="C9" s="98">
        <f t="shared" si="0"/>
        <v>1.6520226755523733</v>
      </c>
    </row>
    <row r="10" spans="2:3" x14ac:dyDescent="0.25">
      <c r="B10">
        <v>-14</v>
      </c>
      <c r="C10" s="98">
        <f t="shared" si="0"/>
        <v>1.811080476997448</v>
      </c>
    </row>
    <row r="11" spans="2:3" x14ac:dyDescent="0.25">
      <c r="B11">
        <v>-13</v>
      </c>
      <c r="C11" s="98">
        <f t="shared" si="0"/>
        <v>1.9840498538889608</v>
      </c>
    </row>
    <row r="12" spans="2:3" x14ac:dyDescent="0.25">
      <c r="B12">
        <v>-12</v>
      </c>
      <c r="C12" s="98">
        <f t="shared" si="0"/>
        <v>2.1720210239248186</v>
      </c>
    </row>
    <row r="13" spans="2:3" x14ac:dyDescent="0.25">
      <c r="B13">
        <v>-11</v>
      </c>
      <c r="C13" s="98">
        <f t="shared" si="0"/>
        <v>2.3761593013428013</v>
      </c>
    </row>
    <row r="14" spans="2:3" x14ac:dyDescent="0.25">
      <c r="B14">
        <v>-10</v>
      </c>
      <c r="C14" s="98">
        <f t="shared" si="0"/>
        <v>2.5977095138643027</v>
      </c>
    </row>
    <row r="15" spans="2:3" x14ac:dyDescent="0.25">
      <c r="B15">
        <v>-9</v>
      </c>
      <c r="C15" s="98">
        <f t="shared" si="0"/>
        <v>2.8380006308644012</v>
      </c>
    </row>
    <row r="16" spans="2:3" x14ac:dyDescent="0.25">
      <c r="B16">
        <v>-8</v>
      </c>
      <c r="C16" s="98">
        <f t="shared" si="0"/>
        <v>3.0984506101876623</v>
      </c>
    </row>
    <row r="17" spans="2:3" x14ac:dyDescent="0.25">
      <c r="B17">
        <v>-7</v>
      </c>
      <c r="C17" s="98">
        <f t="shared" si="0"/>
        <v>3.3805714711649499</v>
      </c>
    </row>
    <row r="18" spans="2:3" x14ac:dyDescent="0.25">
      <c r="B18">
        <v>-6</v>
      </c>
      <c r="C18" s="98">
        <f t="shared" si="0"/>
        <v>3.6859746015216865</v>
      </c>
    </row>
    <row r="19" spans="2:3" x14ac:dyDescent="0.25">
      <c r="B19">
        <v>-5</v>
      </c>
      <c r="C19" s="98">
        <f t="shared" si="0"/>
        <v>4.0163763059987359</v>
      </c>
    </row>
    <row r="20" spans="2:3" x14ac:dyDescent="0.25">
      <c r="B20">
        <v>-4</v>
      </c>
      <c r="C20" s="98">
        <f t="shared" si="0"/>
        <v>4.3736036046366245</v>
      </c>
    </row>
    <row r="21" spans="2:3" x14ac:dyDescent="0.25">
      <c r="B21">
        <v>-3</v>
      </c>
      <c r="C21" s="98">
        <f t="shared" si="0"/>
        <v>4.7596002888001863</v>
      </c>
    </row>
    <row r="22" spans="2:3" x14ac:dyDescent="0.25">
      <c r="B22">
        <v>-2</v>
      </c>
      <c r="C22" s="98">
        <f t="shared" si="0"/>
        <v>5.1764332431430153</v>
      </c>
    </row>
    <row r="23" spans="2:3" x14ac:dyDescent="0.25">
      <c r="B23">
        <v>-1</v>
      </c>
      <c r="C23" s="98">
        <f t="shared" si="0"/>
        <v>5.6262990418316994</v>
      </c>
    </row>
    <row r="24" spans="2:3" x14ac:dyDescent="0.25">
      <c r="B24">
        <v>0</v>
      </c>
      <c r="C24" s="98">
        <f t="shared" si="0"/>
        <v>6.1115308274659128</v>
      </c>
    </row>
    <row r="25" spans="2:3" x14ac:dyDescent="0.25">
      <c r="B25">
        <v>1</v>
      </c>
      <c r="C25" s="98">
        <f t="shared" si="0"/>
        <v>6.5706358831144414</v>
      </c>
    </row>
    <row r="26" spans="2:3" x14ac:dyDescent="0.25">
      <c r="B26">
        <v>2</v>
      </c>
      <c r="C26" s="98">
        <f t="shared" si="0"/>
        <v>7.0602624231278259</v>
      </c>
    </row>
    <row r="27" spans="2:3" x14ac:dyDescent="0.25">
      <c r="B27">
        <v>3</v>
      </c>
      <c r="C27" s="98">
        <f t="shared" si="0"/>
        <v>7.5818404405834894</v>
      </c>
    </row>
    <row r="28" spans="2:3" x14ac:dyDescent="0.25">
      <c r="B28">
        <v>4</v>
      </c>
      <c r="C28" s="98">
        <f t="shared" si="0"/>
        <v>8.1371443052381451</v>
      </c>
    </row>
    <row r="29" spans="2:3" x14ac:dyDescent="0.25">
      <c r="B29">
        <v>5</v>
      </c>
      <c r="C29" s="98">
        <f t="shared" si="0"/>
        <v>8.7280283656306015</v>
      </c>
    </row>
    <row r="30" spans="2:3" x14ac:dyDescent="0.25">
      <c r="B30">
        <v>6</v>
      </c>
      <c r="C30" s="98">
        <f t="shared" si="0"/>
        <v>9.3564296125901674</v>
      </c>
    </row>
    <row r="31" spans="2:3" x14ac:dyDescent="0.25">
      <c r="B31">
        <v>7</v>
      </c>
      <c r="C31" s="98">
        <f t="shared" si="0"/>
        <v>10.024370392266901</v>
      </c>
    </row>
    <row r="32" spans="2:3" x14ac:dyDescent="0.25">
      <c r="B32">
        <v>8</v>
      </c>
      <c r="C32" s="98">
        <f t="shared" si="0"/>
        <v>10.733961168304083</v>
      </c>
    </row>
    <row r="33" spans="2:3" x14ac:dyDescent="0.25">
      <c r="B33">
        <v>9</v>
      </c>
      <c r="C33" s="98">
        <f t="shared" si="0"/>
        <v>11.487403332735008</v>
      </c>
    </row>
    <row r="34" spans="2:3" x14ac:dyDescent="0.25">
      <c r="B34">
        <v>10</v>
      </c>
      <c r="C34" s="98">
        <f t="shared" si="0"/>
        <v>12.286992065144409</v>
      </c>
    </row>
    <row r="35" spans="2:3" x14ac:dyDescent="0.25">
      <c r="B35">
        <v>11</v>
      </c>
      <c r="C35" s="98">
        <f t="shared" si="0"/>
        <v>13.135119239597417</v>
      </c>
    </row>
    <row r="36" spans="2:3" x14ac:dyDescent="0.25">
      <c r="B36">
        <v>12</v>
      </c>
      <c r="C36" s="98">
        <f t="shared" si="0"/>
        <v>14.034276378798639</v>
      </c>
    </row>
    <row r="37" spans="2:3" x14ac:dyDescent="0.25">
      <c r="B37">
        <v>13</v>
      </c>
      <c r="C37" s="98">
        <f t="shared" si="0"/>
        <v>14.987057654906005</v>
      </c>
    </row>
    <row r="38" spans="2:3" x14ac:dyDescent="0.25">
      <c r="B38">
        <v>14</v>
      </c>
      <c r="C38" s="98">
        <f t="shared" si="0"/>
        <v>15.996162936384845</v>
      </c>
    </row>
    <row r="39" spans="2:3" x14ac:dyDescent="0.25">
      <c r="B39">
        <v>15</v>
      </c>
      <c r="C39" s="98">
        <f t="shared" si="0"/>
        <v>17.064400880252176</v>
      </c>
    </row>
    <row r="40" spans="2:3" x14ac:dyDescent="0.25">
      <c r="B40">
        <v>16</v>
      </c>
      <c r="C40" s="98">
        <f t="shared" si="0"/>
        <v>18.194692069020395</v>
      </c>
    </row>
    <row r="41" spans="2:3" x14ac:dyDescent="0.25">
      <c r="B41">
        <v>17</v>
      </c>
      <c r="C41" s="98">
        <f t="shared" si="0"/>
        <v>19.390072191616714</v>
      </c>
    </row>
    <row r="42" spans="2:3" x14ac:dyDescent="0.25">
      <c r="B42">
        <v>18</v>
      </c>
      <c r="C42" s="98">
        <f t="shared" si="0"/>
        <v>20.653695267515729</v>
      </c>
    </row>
    <row r="43" spans="2:3" x14ac:dyDescent="0.25">
      <c r="B43">
        <v>19</v>
      </c>
      <c r="C43" s="98">
        <f t="shared" si="0"/>
        <v>21.988836913288495</v>
      </c>
    </row>
    <row r="44" spans="2:3" x14ac:dyDescent="0.25">
      <c r="B44">
        <v>20</v>
      </c>
      <c r="C44" s="98">
        <f t="shared" si="0"/>
        <v>23.398897650736885</v>
      </c>
    </row>
    <row r="45" spans="2:3" x14ac:dyDescent="0.25">
      <c r="B45">
        <v>21</v>
      </c>
      <c r="C45" s="98">
        <f t="shared" si="0"/>
        <v>24.887406255746345</v>
      </c>
    </row>
    <row r="46" spans="2:3" x14ac:dyDescent="0.25">
      <c r="B46">
        <v>22</v>
      </c>
      <c r="C46" s="98">
        <f t="shared" si="0"/>
        <v>26.458023146959182</v>
      </c>
    </row>
    <row r="47" spans="2:3" x14ac:dyDescent="0.25">
      <c r="B47">
        <v>23</v>
      </c>
      <c r="C47" s="98">
        <f t="shared" si="0"/>
        <v>28.114543813335722</v>
      </c>
    </row>
    <row r="48" spans="2:3" x14ac:dyDescent="0.25">
      <c r="B48">
        <v>24</v>
      </c>
      <c r="C48" s="98">
        <f t="shared" si="0"/>
        <v>29.860902279640243</v>
      </c>
    </row>
    <row r="49" spans="2:3" x14ac:dyDescent="0.25">
      <c r="B49">
        <v>25</v>
      </c>
      <c r="C49" s="98">
        <f t="shared" si="0"/>
        <v>31.70117460885761</v>
      </c>
    </row>
    <row r="50" spans="2:3" x14ac:dyDescent="0.25">
      <c r="B50">
        <v>26</v>
      </c>
      <c r="C50" s="98">
        <f t="shared" si="0"/>
        <v>33.639582440515078</v>
      </c>
    </row>
    <row r="51" spans="2:3" x14ac:dyDescent="0.25">
      <c r="B51">
        <v>27</v>
      </c>
      <c r="C51" s="98">
        <f t="shared" si="0"/>
        <v>35.680496563856849</v>
      </c>
    </row>
    <row r="52" spans="2:3" x14ac:dyDescent="0.25">
      <c r="B52">
        <v>28</v>
      </c>
      <c r="C52" s="98">
        <f t="shared" si="0"/>
        <v>37.828440524787709</v>
      </c>
    </row>
    <row r="53" spans="2:3" x14ac:dyDescent="0.25">
      <c r="B53">
        <v>29</v>
      </c>
      <c r="C53" s="98">
        <f t="shared" si="0"/>
        <v>40.088094265477984</v>
      </c>
    </row>
    <row r="54" spans="2:3" x14ac:dyDescent="0.25">
      <c r="B54">
        <v>30</v>
      </c>
      <c r="C54" s="98">
        <f t="shared" si="0"/>
        <v>42.464297795492236</v>
      </c>
    </row>
    <row r="55" spans="2:3" x14ac:dyDescent="0.25">
      <c r="B55">
        <v>31</v>
      </c>
      <c r="C55" s="98">
        <f t="shared" si="0"/>
        <v>44.96205489328063</v>
      </c>
    </row>
    <row r="56" spans="2:3" x14ac:dyDescent="0.25">
      <c r="B56">
        <v>32</v>
      </c>
      <c r="C56" s="98">
        <f t="shared" si="0"/>
        <v>47.586536836847912</v>
      </c>
    </row>
    <row r="57" spans="2:3" x14ac:dyDescent="0.25">
      <c r="B57">
        <v>33</v>
      </c>
      <c r="C57" s="98">
        <f t="shared" si="0"/>
        <v>50.343086162388545</v>
      </c>
    </row>
    <row r="58" spans="2:3" x14ac:dyDescent="0.25">
      <c r="B58">
        <v>34</v>
      </c>
      <c r="C58" s="98">
        <f t="shared" si="0"/>
        <v>53.237220449657499</v>
      </c>
    </row>
    <row r="59" spans="2:3" x14ac:dyDescent="0.25">
      <c r="B59">
        <v>35</v>
      </c>
      <c r="C59" s="98">
        <f t="shared" si="0"/>
        <v>56.274636132821918</v>
      </c>
    </row>
    <row r="60" spans="2:3" x14ac:dyDescent="0.25">
      <c r="B60">
        <v>36</v>
      </c>
      <c r="C60" s="98">
        <f t="shared" si="0"/>
        <v>59.461212335519342</v>
      </c>
    </row>
    <row r="61" spans="2:3" x14ac:dyDescent="0.25">
      <c r="B61">
        <v>37</v>
      </c>
      <c r="C61" s="98">
        <f t="shared" si="0"/>
        <v>62.803014728830362</v>
      </c>
    </row>
    <row r="62" spans="2:3" x14ac:dyDescent="0.25">
      <c r="B62">
        <v>38</v>
      </c>
      <c r="C62" s="98">
        <f t="shared" si="0"/>
        <v>66.306299410851054</v>
      </c>
    </row>
    <row r="63" spans="2:3" x14ac:dyDescent="0.25">
      <c r="B63">
        <v>39</v>
      </c>
      <c r="C63" s="98">
        <f t="shared" si="0"/>
        <v>69.977516806538048</v>
      </c>
    </row>
    <row r="64" spans="2:3" x14ac:dyDescent="0.25">
      <c r="B64">
        <v>40</v>
      </c>
      <c r="C64" s="98">
        <f t="shared" si="0"/>
        <v>73.823315586478984</v>
      </c>
    </row>
    <row r="65" spans="2:3" x14ac:dyDescent="0.25">
      <c r="B65">
        <v>41</v>
      </c>
      <c r="C65" s="98">
        <f t="shared" si="0"/>
        <v>77.850546603227542</v>
      </c>
    </row>
    <row r="66" spans="2:3" x14ac:dyDescent="0.25">
      <c r="B66">
        <v>42</v>
      </c>
      <c r="C66" s="98">
        <f t="shared" si="0"/>
        <v>82.066266843828913</v>
      </c>
    </row>
    <row r="67" spans="2:3" x14ac:dyDescent="0.25">
      <c r="B67">
        <v>43</v>
      </c>
      <c r="C67" s="98">
        <f t="shared" si="0"/>
        <v>86.477743397145375</v>
      </c>
    </row>
    <row r="68" spans="2:3" x14ac:dyDescent="0.25">
      <c r="B68">
        <v>44</v>
      </c>
      <c r="C68" s="98">
        <f t="shared" si="0"/>
        <v>91.092457434583508</v>
      </c>
    </row>
    <row r="69" spans="2:3" x14ac:dyDescent="0.25">
      <c r="B69">
        <v>45</v>
      </c>
      <c r="C69" s="98">
        <f t="shared" ref="C69:C132" si="1">Saettigungsdruck_t(B69)*1000</f>
        <v>95.918108202810814</v>
      </c>
    </row>
    <row r="70" spans="2:3" x14ac:dyDescent="0.25">
      <c r="B70">
        <v>46</v>
      </c>
      <c r="C70" s="98">
        <f t="shared" si="1"/>
        <v>100.96261702703944</v>
      </c>
    </row>
    <row r="71" spans="2:3" x14ac:dyDescent="0.25">
      <c r="B71">
        <v>47</v>
      </c>
      <c r="C71" s="98">
        <f t="shared" si="1"/>
        <v>106.2341313234495</v>
      </c>
    </row>
    <row r="72" spans="2:3" x14ac:dyDescent="0.25">
      <c r="B72">
        <v>48</v>
      </c>
      <c r="C72" s="98">
        <f t="shared" si="1"/>
        <v>111.74102861931146</v>
      </c>
    </row>
    <row r="73" spans="2:3" x14ac:dyDescent="0.25">
      <c r="B73">
        <v>49</v>
      </c>
      <c r="C73" s="98">
        <f t="shared" si="1"/>
        <v>117.49192057936405</v>
      </c>
    </row>
    <row r="74" spans="2:3" x14ac:dyDescent="0.25">
      <c r="B74">
        <v>50</v>
      </c>
      <c r="C74" s="98">
        <f t="shared" si="1"/>
        <v>123.49565703699717</v>
      </c>
    </row>
    <row r="75" spans="2:3" x14ac:dyDescent="0.25">
      <c r="B75">
        <v>51</v>
      </c>
      <c r="C75" s="98">
        <f t="shared" si="1"/>
        <v>129.76133002878544</v>
      </c>
    </row>
    <row r="76" spans="2:3" x14ac:dyDescent="0.25">
      <c r="B76">
        <v>52</v>
      </c>
      <c r="C76" s="98">
        <f t="shared" si="1"/>
        <v>136.29827783091093</v>
      </c>
    </row>
    <row r="77" spans="2:3" x14ac:dyDescent="0.25">
      <c r="B77">
        <v>53</v>
      </c>
      <c r="C77" s="98">
        <f t="shared" si="1"/>
        <v>143.11608899601896</v>
      </c>
    </row>
    <row r="78" spans="2:3" x14ac:dyDescent="0.25">
      <c r="B78">
        <v>54</v>
      </c>
      <c r="C78" s="98">
        <f t="shared" si="1"/>
        <v>150.22460638903627</v>
      </c>
    </row>
    <row r="79" spans="2:3" x14ac:dyDescent="0.25">
      <c r="B79">
        <v>55</v>
      </c>
      <c r="C79" s="98">
        <f t="shared" si="1"/>
        <v>157.63393122049834</v>
      </c>
    </row>
    <row r="80" spans="2:3" x14ac:dyDescent="0.25">
      <c r="B80">
        <v>56</v>
      </c>
      <c r="C80" s="98">
        <f t="shared" si="1"/>
        <v>165.35442707591082</v>
      </c>
    </row>
    <row r="81" spans="2:3" x14ac:dyDescent="0.25">
      <c r="B81">
        <v>57</v>
      </c>
      <c r="C81" s="98">
        <f t="shared" si="1"/>
        <v>173.39672393969329</v>
      </c>
    </row>
    <row r="82" spans="2:3" x14ac:dyDescent="0.25">
      <c r="B82">
        <v>58</v>
      </c>
      <c r="C82" s="98">
        <f t="shared" si="1"/>
        <v>181.77172221223941</v>
      </c>
    </row>
    <row r="83" spans="2:3" x14ac:dyDescent="0.25">
      <c r="B83">
        <v>59</v>
      </c>
      <c r="C83" s="98">
        <f t="shared" si="1"/>
        <v>190.49059671864057</v>
      </c>
    </row>
    <row r="84" spans="2:3" x14ac:dyDescent="0.25">
      <c r="B84">
        <v>60</v>
      </c>
      <c r="C84" s="98">
        <f t="shared" si="1"/>
        <v>199.17381748501862</v>
      </c>
    </row>
    <row r="85" spans="2:3" x14ac:dyDescent="0.25">
      <c r="B85">
        <v>61</v>
      </c>
      <c r="C85" s="98">
        <f t="shared" si="1"/>
        <v>208.57560419579715</v>
      </c>
    </row>
    <row r="86" spans="2:3" x14ac:dyDescent="0.25">
      <c r="B86">
        <v>62</v>
      </c>
      <c r="C86" s="98">
        <f t="shared" si="1"/>
        <v>218.35275950987534</v>
      </c>
    </row>
    <row r="87" spans="2:3" x14ac:dyDescent="0.25">
      <c r="B87">
        <v>63</v>
      </c>
      <c r="C87" s="98">
        <f t="shared" si="1"/>
        <v>228.51731077126669</v>
      </c>
    </row>
    <row r="88" spans="2:3" x14ac:dyDescent="0.25">
      <c r="B88">
        <v>64</v>
      </c>
      <c r="C88" s="98">
        <f t="shared" si="1"/>
        <v>239.08156117537058</v>
      </c>
    </row>
    <row r="89" spans="2:3" x14ac:dyDescent="0.25">
      <c r="B89">
        <v>65</v>
      </c>
      <c r="C89" s="98">
        <f t="shared" si="1"/>
        <v>250.05809245373572</v>
      </c>
    </row>
    <row r="90" spans="2:3" x14ac:dyDescent="0.25">
      <c r="B90">
        <v>66</v>
      </c>
      <c r="C90" s="98">
        <f t="shared" si="1"/>
        <v>261.45976743922245</v>
      </c>
    </row>
    <row r="91" spans="2:3" x14ac:dyDescent="0.25">
      <c r="B91">
        <v>67</v>
      </c>
      <c r="C91" s="98">
        <f t="shared" si="1"/>
        <v>273.2997325021484</v>
      </c>
    </row>
    <row r="92" spans="2:3" x14ac:dyDescent="0.25">
      <c r="B92">
        <v>68</v>
      </c>
      <c r="C92" s="98">
        <f t="shared" si="1"/>
        <v>285.59141984753791</v>
      </c>
    </row>
    <row r="93" spans="2:3" x14ac:dyDescent="0.25">
      <c r="B93">
        <v>69</v>
      </c>
      <c r="C93" s="98">
        <f t="shared" si="1"/>
        <v>298.34854966313696</v>
      </c>
    </row>
    <row r="94" spans="2:3" x14ac:dyDescent="0.25">
      <c r="B94">
        <v>70</v>
      </c>
      <c r="C94" s="98">
        <f t="shared" si="1"/>
        <v>311.58513210736135</v>
      </c>
    </row>
    <row r="95" spans="2:3" x14ac:dyDescent="0.25">
      <c r="B95">
        <v>71</v>
      </c>
      <c r="C95" s="98">
        <f t="shared" si="1"/>
        <v>325.31546912584315</v>
      </c>
    </row>
    <row r="96" spans="2:3" x14ac:dyDescent="0.25">
      <c r="B96">
        <v>72</v>
      </c>
      <c r="C96" s="98">
        <f t="shared" si="1"/>
        <v>339.55415608473771</v>
      </c>
    </row>
    <row r="97" spans="2:3" x14ac:dyDescent="0.25">
      <c r="B97">
        <v>73</v>
      </c>
      <c r="C97" s="98">
        <f t="shared" si="1"/>
        <v>354.31608320841548</v>
      </c>
    </row>
    <row r="98" spans="2:3" x14ac:dyDescent="0.25">
      <c r="B98">
        <v>74</v>
      </c>
      <c r="C98" s="98">
        <f t="shared" si="1"/>
        <v>369.61643680863</v>
      </c>
    </row>
    <row r="99" spans="2:3" x14ac:dyDescent="0.25">
      <c r="B99">
        <v>75</v>
      </c>
      <c r="C99" s="98">
        <f t="shared" si="1"/>
        <v>385.47070029169686</v>
      </c>
    </row>
    <row r="100" spans="2:3" x14ac:dyDescent="0.25">
      <c r="B100">
        <v>76</v>
      </c>
      <c r="C100" s="98">
        <f t="shared" si="1"/>
        <v>401.89465492965923</v>
      </c>
    </row>
    <row r="101" spans="2:3" x14ac:dyDescent="0.25">
      <c r="B101">
        <v>77</v>
      </c>
      <c r="C101" s="98">
        <f t="shared" si="1"/>
        <v>418.90438038082732</v>
      </c>
    </row>
    <row r="102" spans="2:3" x14ac:dyDescent="0.25">
      <c r="B102">
        <v>78</v>
      </c>
      <c r="C102" s="98">
        <f t="shared" si="1"/>
        <v>436.51625494450309</v>
      </c>
    </row>
    <row r="103" spans="2:3" x14ac:dyDescent="0.25">
      <c r="B103">
        <v>79</v>
      </c>
      <c r="C103" s="98">
        <f t="shared" si="1"/>
        <v>454.74695553409936</v>
      </c>
    </row>
    <row r="104" spans="2:3" x14ac:dyDescent="0.25">
      <c r="B104">
        <v>80</v>
      </c>
      <c r="C104" s="98">
        <f t="shared" si="1"/>
        <v>473.61345735224404</v>
      </c>
    </row>
    <row r="105" spans="2:3" x14ac:dyDescent="0.25">
      <c r="B105">
        <v>81</v>
      </c>
      <c r="C105" s="98">
        <f t="shared" si="1"/>
        <v>493.13303325086713</v>
      </c>
    </row>
    <row r="106" spans="2:3" x14ac:dyDescent="0.25">
      <c r="B106">
        <v>82</v>
      </c>
      <c r="C106" s="98">
        <f t="shared" si="1"/>
        <v>513.32325275860285</v>
      </c>
    </row>
    <row r="107" spans="2:3" x14ac:dyDescent="0.25">
      <c r="B107">
        <v>83</v>
      </c>
      <c r="C107" s="98">
        <f t="shared" si="1"/>
        <v>534.20198075725182</v>
      </c>
    </row>
    <row r="108" spans="2:3" x14ac:dyDescent="0.25">
      <c r="B108">
        <v>84</v>
      </c>
      <c r="C108" s="98">
        <f t="shared" si="1"/>
        <v>555.78737578837809</v>
      </c>
    </row>
    <row r="109" spans="2:3" x14ac:dyDescent="0.25">
      <c r="B109">
        <v>85</v>
      </c>
      <c r="C109" s="98">
        <f t="shared" si="1"/>
        <v>578.09788797047088</v>
      </c>
    </row>
    <row r="110" spans="2:3" x14ac:dyDescent="0.25">
      <c r="B110">
        <v>86</v>
      </c>
      <c r="C110" s="98">
        <f t="shared" si="1"/>
        <v>601.15225650647585</v>
      </c>
    </row>
    <row r="111" spans="2:3" x14ac:dyDescent="0.25">
      <c r="B111">
        <v>87</v>
      </c>
      <c r="C111" s="98">
        <f t="shared" si="1"/>
        <v>624.96950676083441</v>
      </c>
    </row>
    <row r="112" spans="2:3" x14ac:dyDescent="0.25">
      <c r="B112">
        <v>88</v>
      </c>
      <c r="C112" s="98">
        <f t="shared" si="1"/>
        <v>649.56894688450461</v>
      </c>
    </row>
    <row r="113" spans="2:3" x14ac:dyDescent="0.25">
      <c r="B113">
        <v>89</v>
      </c>
      <c r="C113" s="98">
        <f t="shared" si="1"/>
        <v>674.97016396582728</v>
      </c>
    </row>
    <row r="114" spans="2:3" x14ac:dyDescent="0.25">
      <c r="B114">
        <v>90</v>
      </c>
      <c r="C114" s="98">
        <f t="shared" si="1"/>
        <v>701.19301968440516</v>
      </c>
    </row>
    <row r="115" spans="2:3" x14ac:dyDescent="0.25">
      <c r="B115">
        <v>91</v>
      </c>
      <c r="C115" s="98">
        <f t="shared" si="1"/>
        <v>728.25764544455672</v>
      </c>
    </row>
    <row r="116" spans="2:3" x14ac:dyDescent="0.25">
      <c r="B116">
        <v>92</v>
      </c>
      <c r="C116" s="98">
        <f t="shared" si="1"/>
        <v>756.18443696423594</v>
      </c>
    </row>
    <row r="117" spans="2:3" x14ac:dyDescent="0.25">
      <c r="B117">
        <v>93</v>
      </c>
      <c r="C117" s="98">
        <f t="shared" si="1"/>
        <v>784.99404829472303</v>
      </c>
    </row>
    <row r="118" spans="2:3" x14ac:dyDescent="0.25">
      <c r="B118">
        <v>94</v>
      </c>
      <c r="C118" s="98">
        <f t="shared" si="1"/>
        <v>814.70738524572039</v>
      </c>
    </row>
    <row r="119" spans="2:3" x14ac:dyDescent="0.25">
      <c r="B119">
        <v>95</v>
      </c>
      <c r="C119" s="98">
        <f t="shared" si="1"/>
        <v>845.34559818992295</v>
      </c>
    </row>
    <row r="120" spans="2:3" x14ac:dyDescent="0.25">
      <c r="B120">
        <v>96</v>
      </c>
      <c r="C120" s="98">
        <f t="shared" si="1"/>
        <v>876.93007422053108</v>
      </c>
    </row>
    <row r="121" spans="2:3" x14ac:dyDescent="0.25">
      <c r="B121">
        <v>97</v>
      </c>
      <c r="C121" s="98">
        <f t="shared" si="1"/>
        <v>909.48242863458574</v>
      </c>
    </row>
    <row r="122" spans="2:3" x14ac:dyDescent="0.25">
      <c r="B122">
        <v>98</v>
      </c>
      <c r="C122" s="98">
        <f t="shared" si="1"/>
        <v>943.02449571448392</v>
      </c>
    </row>
    <row r="123" spans="2:3" x14ac:dyDescent="0.25">
      <c r="B123">
        <v>99</v>
      </c>
      <c r="C123" s="98">
        <f t="shared" si="1"/>
        <v>977.57831877948661</v>
      </c>
    </row>
    <row r="124" spans="2:3" x14ac:dyDescent="0.25">
      <c r="B124">
        <v>100</v>
      </c>
      <c r="C124" s="98">
        <f t="shared" si="1"/>
        <v>1012.9479827065562</v>
      </c>
    </row>
    <row r="125" spans="2:3" x14ac:dyDescent="0.25">
      <c r="B125">
        <v>101</v>
      </c>
      <c r="C125" s="98">
        <f t="shared" si="1"/>
        <v>1049.713438360179</v>
      </c>
    </row>
    <row r="126" spans="2:3" x14ac:dyDescent="0.25">
      <c r="B126">
        <v>102</v>
      </c>
      <c r="C126" s="98">
        <f t="shared" si="1"/>
        <v>1087.5723284995127</v>
      </c>
    </row>
    <row r="127" spans="2:3" x14ac:dyDescent="0.25">
      <c r="B127">
        <v>103</v>
      </c>
      <c r="C127" s="98">
        <f t="shared" si="1"/>
        <v>1126.5493119913899</v>
      </c>
    </row>
    <row r="128" spans="2:3" x14ac:dyDescent="0.25">
      <c r="B128">
        <v>104</v>
      </c>
      <c r="C128" s="98">
        <f t="shared" si="1"/>
        <v>1166.6694041940868</v>
      </c>
    </row>
    <row r="129" spans="2:3" x14ac:dyDescent="0.25">
      <c r="B129">
        <v>105</v>
      </c>
      <c r="C129" s="98">
        <f t="shared" si="1"/>
        <v>1207.9579787255561</v>
      </c>
    </row>
    <row r="130" spans="2:3" x14ac:dyDescent="0.25">
      <c r="B130">
        <v>106</v>
      </c>
      <c r="C130" s="98">
        <f t="shared" si="1"/>
        <v>1250.4407692149391</v>
      </c>
    </row>
    <row r="131" spans="2:3" x14ac:dyDescent="0.25">
      <c r="B131">
        <v>107</v>
      </c>
      <c r="C131" s="98">
        <f t="shared" si="1"/>
        <v>1294.1438710366276</v>
      </c>
    </row>
    <row r="132" spans="2:3" x14ac:dyDescent="0.25">
      <c r="B132">
        <v>108</v>
      </c>
      <c r="C132" s="98">
        <f t="shared" si="1"/>
        <v>1339.0937430258755</v>
      </c>
    </row>
    <row r="133" spans="2:3" x14ac:dyDescent="0.25">
      <c r="B133">
        <v>109</v>
      </c>
      <c r="C133" s="98">
        <f t="shared" ref="C133:C174" si="2">Saettigungsdruck_t(B133)*1000</f>
        <v>1385.3172091749398</v>
      </c>
    </row>
    <row r="134" spans="2:3" x14ac:dyDescent="0.25">
      <c r="B134">
        <v>110</v>
      </c>
      <c r="C134" s="98">
        <f t="shared" si="2"/>
        <v>1432.8414603084063</v>
      </c>
    </row>
    <row r="135" spans="2:3" x14ac:dyDescent="0.25">
      <c r="B135">
        <v>111</v>
      </c>
      <c r="C135" s="98">
        <f t="shared" si="2"/>
        <v>1481.6940557363939</v>
      </c>
    </row>
    <row r="136" spans="2:3" x14ac:dyDescent="0.25">
      <c r="B136">
        <v>112</v>
      </c>
      <c r="C136" s="98">
        <f t="shared" si="2"/>
        <v>1531.9029248839292</v>
      </c>
    </row>
    <row r="137" spans="2:3" x14ac:dyDescent="0.25">
      <c r="B137">
        <v>113</v>
      </c>
      <c r="C137" s="98">
        <f t="shared" si="2"/>
        <v>1583.4963688948289</v>
      </c>
    </row>
    <row r="138" spans="2:3" x14ac:dyDescent="0.25">
      <c r="B138">
        <v>114</v>
      </c>
      <c r="C138" s="98">
        <f t="shared" si="2"/>
        <v>1636.503062208064</v>
      </c>
    </row>
    <row r="139" spans="2:3" x14ac:dyDescent="0.25">
      <c r="B139">
        <v>115</v>
      </c>
      <c r="C139" s="98">
        <f t="shared" si="2"/>
        <v>1690.9520541044947</v>
      </c>
    </row>
    <row r="140" spans="2:3" x14ac:dyDescent="0.25">
      <c r="B140">
        <v>116</v>
      </c>
      <c r="C140" s="98">
        <f t="shared" si="2"/>
        <v>1746.8727702216204</v>
      </c>
    </row>
    <row r="141" spans="2:3" x14ac:dyDescent="0.25">
      <c r="B141">
        <v>117</v>
      </c>
      <c r="C141" s="98">
        <f t="shared" si="2"/>
        <v>1804.2950140338151</v>
      </c>
    </row>
    <row r="142" spans="2:3" x14ac:dyDescent="0.25">
      <c r="B142">
        <v>118</v>
      </c>
      <c r="C142" s="98">
        <f t="shared" si="2"/>
        <v>1863.2489682953012</v>
      </c>
    </row>
    <row r="143" spans="2:3" x14ac:dyDescent="0.25">
      <c r="B143">
        <v>119</v>
      </c>
      <c r="C143" s="98">
        <f t="shared" si="2"/>
        <v>1923.7651964428555</v>
      </c>
    </row>
    <row r="144" spans="2:3" x14ac:dyDescent="0.25">
      <c r="B144">
        <v>120</v>
      </c>
      <c r="C144" s="98">
        <f t="shared" si="2"/>
        <v>1985.8746439551178</v>
      </c>
    </row>
    <row r="145" spans="2:3" x14ac:dyDescent="0.25">
      <c r="B145">
        <v>121</v>
      </c>
      <c r="C145" s="98">
        <f t="shared" si="2"/>
        <v>2049.6086396650476</v>
      </c>
    </row>
    <row r="146" spans="2:3" x14ac:dyDescent="0.25">
      <c r="B146">
        <v>122</v>
      </c>
      <c r="C146" s="98">
        <f t="shared" si="2"/>
        <v>2114.998897021901</v>
      </c>
    </row>
    <row r="147" spans="2:3" x14ac:dyDescent="0.25">
      <c r="B147">
        <v>123</v>
      </c>
      <c r="C147" s="98">
        <f t="shared" si="2"/>
        <v>2182.0775152988581</v>
      </c>
    </row>
    <row r="148" spans="2:3" x14ac:dyDescent="0.25">
      <c r="B148">
        <v>124</v>
      </c>
      <c r="C148" s="98">
        <f t="shared" si="2"/>
        <v>2250.8769807421108</v>
      </c>
    </row>
    <row r="149" spans="2:3" x14ac:dyDescent="0.25">
      <c r="B149">
        <v>125</v>
      </c>
      <c r="C149" s="98">
        <f t="shared" si="2"/>
        <v>2321.4301676571772</v>
      </c>
    </row>
    <row r="150" spans="2:3" x14ac:dyDescent="0.25">
      <c r="B150">
        <v>126</v>
      </c>
      <c r="C150" s="98">
        <f t="shared" si="2"/>
        <v>2393.770339427645</v>
      </c>
    </row>
    <row r="151" spans="2:3" x14ac:dyDescent="0.25">
      <c r="B151">
        <v>127</v>
      </c>
      <c r="C151" s="98">
        <f t="shared" si="2"/>
        <v>2467.9311494615854</v>
      </c>
    </row>
    <row r="152" spans="2:3" x14ac:dyDescent="0.25">
      <c r="B152">
        <v>128</v>
      </c>
      <c r="C152" s="98">
        <f t="shared" si="2"/>
        <v>2543.9466420604099</v>
      </c>
    </row>
    <row r="153" spans="2:3" x14ac:dyDescent="0.25">
      <c r="B153">
        <v>129</v>
      </c>
      <c r="C153" s="98">
        <f t="shared" si="2"/>
        <v>2621.8512532048289</v>
      </c>
    </row>
    <row r="154" spans="2:3" x14ac:dyDescent="0.25">
      <c r="B154">
        <v>130</v>
      </c>
      <c r="C154" s="98">
        <f t="shared" si="2"/>
        <v>2701.6798112521187</v>
      </c>
    </row>
    <row r="155" spans="2:3" x14ac:dyDescent="0.25">
      <c r="B155">
        <v>131</v>
      </c>
      <c r="C155" s="98">
        <f t="shared" si="2"/>
        <v>2783.4675375387851</v>
      </c>
    </row>
    <row r="156" spans="2:3" x14ac:dyDescent="0.25">
      <c r="B156">
        <v>132</v>
      </c>
      <c r="C156" s="98">
        <f t="shared" si="2"/>
        <v>2867.2500468823487</v>
      </c>
    </row>
    <row r="157" spans="2:3" x14ac:dyDescent="0.25">
      <c r="B157">
        <v>133</v>
      </c>
      <c r="C157" s="98">
        <f t="shared" si="2"/>
        <v>2953.0633479756957</v>
      </c>
    </row>
    <row r="158" spans="2:3" x14ac:dyDescent="0.25">
      <c r="B158">
        <v>134</v>
      </c>
      <c r="C158" s="98">
        <f t="shared" si="2"/>
        <v>3040.9438436671476</v>
      </c>
    </row>
    <row r="159" spans="2:3" x14ac:dyDescent="0.25">
      <c r="B159">
        <v>135</v>
      </c>
      <c r="C159" s="98">
        <f t="shared" si="2"/>
        <v>3130.9283311190679</v>
      </c>
    </row>
    <row r="160" spans="2:3" x14ac:dyDescent="0.25">
      <c r="B160">
        <v>136</v>
      </c>
      <c r="C160" s="98">
        <f t="shared" si="2"/>
        <v>3223.0540018376596</v>
      </c>
    </row>
    <row r="161" spans="2:3" x14ac:dyDescent="0.25">
      <c r="B161">
        <v>137</v>
      </c>
      <c r="C161" s="98">
        <f t="shared" si="2"/>
        <v>3317.3584415660453</v>
      </c>
    </row>
    <row r="162" spans="2:3" x14ac:dyDescent="0.25">
      <c r="B162">
        <v>138</v>
      </c>
      <c r="C162" s="98">
        <f t="shared" si="2"/>
        <v>3413.8796300326353</v>
      </c>
    </row>
    <row r="163" spans="2:3" x14ac:dyDescent="0.25">
      <c r="B163">
        <v>139</v>
      </c>
      <c r="C163" s="98">
        <f t="shared" si="2"/>
        <v>3512.6559405464518</v>
      </c>
    </row>
    <row r="164" spans="2:3" x14ac:dyDescent="0.25">
      <c r="B164">
        <v>140</v>
      </c>
      <c r="C164" s="98">
        <f t="shared" si="2"/>
        <v>3613.726139430521</v>
      </c>
    </row>
    <row r="165" spans="2:3" x14ac:dyDescent="0.25">
      <c r="B165">
        <v>141</v>
      </c>
      <c r="C165" s="98">
        <f t="shared" si="2"/>
        <v>3717.1293852844592</v>
      </c>
    </row>
    <row r="166" spans="2:3" x14ac:dyDescent="0.25">
      <c r="B166">
        <v>142</v>
      </c>
      <c r="C166" s="98">
        <f t="shared" si="2"/>
        <v>3822.9052280667624</v>
      </c>
    </row>
    <row r="167" spans="2:3" x14ac:dyDescent="0.25">
      <c r="B167">
        <v>143</v>
      </c>
      <c r="C167" s="98">
        <f t="shared" si="2"/>
        <v>3931.0936079871981</v>
      </c>
    </row>
    <row r="168" spans="2:3" x14ac:dyDescent="0.25">
      <c r="B168">
        <v>144</v>
      </c>
      <c r="C168" s="98">
        <f t="shared" si="2"/>
        <v>4041.7348541991246</v>
      </c>
    </row>
    <row r="169" spans="2:3" x14ac:dyDescent="0.25">
      <c r="B169">
        <v>145</v>
      </c>
      <c r="C169" s="98">
        <f t="shared" si="2"/>
        <v>4154.8696832814103</v>
      </c>
    </row>
    <row r="170" spans="2:3" x14ac:dyDescent="0.25">
      <c r="B170">
        <v>146</v>
      </c>
      <c r="C170" s="98">
        <f t="shared" si="2"/>
        <v>4270.5391974992926</v>
      </c>
    </row>
    <row r="171" spans="2:3" x14ac:dyDescent="0.25">
      <c r="B171">
        <v>147</v>
      </c>
      <c r="C171" s="98">
        <f t="shared" si="2"/>
        <v>4388.7848828329461</v>
      </c>
    </row>
    <row r="172" spans="2:3" x14ac:dyDescent="0.25">
      <c r="B172">
        <v>148</v>
      </c>
      <c r="C172" s="98">
        <f t="shared" si="2"/>
        <v>4509.6486067624119</v>
      </c>
    </row>
    <row r="173" spans="2:3" x14ac:dyDescent="0.25">
      <c r="B173">
        <v>149</v>
      </c>
      <c r="C173" s="98">
        <f t="shared" si="2"/>
        <v>4633.1726157970588</v>
      </c>
    </row>
    <row r="174" spans="2:3" x14ac:dyDescent="0.25">
      <c r="B174">
        <v>150</v>
      </c>
      <c r="C174" s="98">
        <f t="shared" si="2"/>
        <v>4759.3995327374869</v>
      </c>
    </row>
  </sheetData>
  <phoneticPr fontId="10" type="noConversion"/>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13</vt:i4>
      </vt:variant>
    </vt:vector>
  </HeadingPairs>
  <TitlesOfParts>
    <vt:vector size="19" baseType="lpstr">
      <vt:lpstr>(c)</vt:lpstr>
      <vt:lpstr>Funktionen</vt:lpstr>
      <vt:lpstr>Zustand</vt:lpstr>
      <vt:lpstr>Zustandsänderungen</vt:lpstr>
      <vt:lpstr>hx</vt:lpstr>
      <vt:lpstr>pt Diagramm</vt:lpstr>
      <vt:lpstr>FL_p_bar</vt:lpstr>
      <vt:lpstr>FL_PartialdruckLuft</vt:lpstr>
      <vt:lpstr>FL_PartialdruckWasser</vt:lpstr>
      <vt:lpstr>FL_phi</vt:lpstr>
      <vt:lpstr>FL_pws_bar</vt:lpstr>
      <vt:lpstr>fl_rho</vt:lpstr>
      <vt:lpstr>FL_t_Celsius</vt:lpstr>
      <vt:lpstr>fl_VStrom_feucht</vt:lpstr>
      <vt:lpstr>FL_Wassergehalt_kgkg</vt:lpstr>
      <vt:lpstr>hx_druck</vt:lpstr>
      <vt:lpstr>za_luftdruck</vt:lpstr>
      <vt:lpstr>za_mstrom</vt:lpstr>
      <vt:lpstr>za_mstrom2</vt:lpstr>
    </vt:vector>
  </TitlesOfParts>
  <Company>T60</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Reiner Mayers</dc:creator>
  <cp:lastModifiedBy>Mayers</cp:lastModifiedBy>
  <dcterms:created xsi:type="dcterms:W3CDTF">2012-06-21T16:07:25Z</dcterms:created>
  <dcterms:modified xsi:type="dcterms:W3CDTF">2014-09-03T12:11:29Z</dcterms:modified>
</cp:coreProperties>
</file>